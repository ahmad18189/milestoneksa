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wald\Desktop\"/>
    </mc:Choice>
  </mc:AlternateContent>
  <xr:revisionPtr revIDLastSave="0" documentId="13_ncr:1_{13DEEC81-1798-4AF5-9EEF-AEDB47F2F5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يزانية 2026" sheetId="1" r:id="rId1"/>
    <sheet name="تحليل الدفعات " sheetId="2" r:id="rId2"/>
  </sheets>
  <definedNames>
    <definedName name="valHighl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2" l="1"/>
  <c r="O28" i="2"/>
  <c r="O27" i="2"/>
  <c r="O7" i="2"/>
  <c r="R3" i="1"/>
  <c r="N3" i="1"/>
  <c r="S3" i="1" s="1"/>
  <c r="J3" i="1"/>
  <c r="F3" i="1"/>
  <c r="O20" i="2"/>
  <c r="O17" i="2"/>
  <c r="O16" i="2"/>
  <c r="O15" i="2"/>
  <c r="O14" i="2"/>
  <c r="O13" i="2"/>
  <c r="O11" i="2"/>
  <c r="O12" i="2"/>
  <c r="O10" i="2"/>
  <c r="O9" i="2"/>
  <c r="D31" i="2"/>
  <c r="E31" i="2"/>
  <c r="F31" i="2"/>
  <c r="G31" i="2"/>
  <c r="H31" i="2"/>
  <c r="I31" i="2"/>
  <c r="J31" i="2"/>
  <c r="K31" i="2"/>
  <c r="L31" i="2"/>
  <c r="M31" i="2"/>
  <c r="N31" i="2"/>
  <c r="C31" i="2"/>
  <c r="O30" i="2"/>
  <c r="O26" i="2"/>
  <c r="O8" i="2"/>
  <c r="Q43" i="1"/>
  <c r="P43" i="1"/>
  <c r="O43" i="1"/>
  <c r="M43" i="1"/>
  <c r="L43" i="1"/>
  <c r="K43" i="1"/>
  <c r="I43" i="1"/>
  <c r="H43" i="1"/>
  <c r="G43" i="1"/>
  <c r="F43" i="1"/>
  <c r="E43" i="1"/>
  <c r="D43" i="1"/>
  <c r="C43" i="1"/>
  <c r="F42" i="1"/>
  <c r="J42" i="1"/>
  <c r="J41" i="1"/>
  <c r="N42" i="1"/>
  <c r="R42" i="1"/>
  <c r="N21" i="2"/>
  <c r="M21" i="2"/>
  <c r="L21" i="2"/>
  <c r="K21" i="2"/>
  <c r="J21" i="2"/>
  <c r="I21" i="2"/>
  <c r="H21" i="2"/>
  <c r="G21" i="2"/>
  <c r="F21" i="2"/>
  <c r="E21" i="2"/>
  <c r="D21" i="2"/>
  <c r="O6" i="2"/>
  <c r="O5" i="2"/>
  <c r="F21" i="1"/>
  <c r="J21" i="1"/>
  <c r="N21" i="1"/>
  <c r="R21" i="1"/>
  <c r="F20" i="1"/>
  <c r="J20" i="1"/>
  <c r="N20" i="1"/>
  <c r="R20" i="1"/>
  <c r="N41" i="1"/>
  <c r="F41" i="1"/>
  <c r="F32" i="1"/>
  <c r="J32" i="1"/>
  <c r="N32" i="1"/>
  <c r="R32" i="1"/>
  <c r="J19" i="1"/>
  <c r="R13" i="1"/>
  <c r="S13" i="1" s="1"/>
  <c r="J12" i="1"/>
  <c r="R41" i="1"/>
  <c r="Q36" i="1"/>
  <c r="P36" i="1"/>
  <c r="O36" i="1"/>
  <c r="M36" i="1"/>
  <c r="L36" i="1"/>
  <c r="K36" i="1"/>
  <c r="I36" i="1"/>
  <c r="H36" i="1"/>
  <c r="G36" i="1"/>
  <c r="E36" i="1"/>
  <c r="D36" i="1"/>
  <c r="C36" i="1"/>
  <c r="R35" i="1"/>
  <c r="N35" i="1"/>
  <c r="J35" i="1"/>
  <c r="F35" i="1"/>
  <c r="Q33" i="1"/>
  <c r="P33" i="1"/>
  <c r="O33" i="1"/>
  <c r="M33" i="1"/>
  <c r="L33" i="1"/>
  <c r="K33" i="1"/>
  <c r="I33" i="1"/>
  <c r="H33" i="1"/>
  <c r="G33" i="1"/>
  <c r="E33" i="1"/>
  <c r="D33" i="1"/>
  <c r="C33" i="1"/>
  <c r="R31" i="1"/>
  <c r="N31" i="1"/>
  <c r="J31" i="1"/>
  <c r="F31" i="1"/>
  <c r="R30" i="1"/>
  <c r="N30" i="1"/>
  <c r="J30" i="1"/>
  <c r="F30" i="1"/>
  <c r="R29" i="1"/>
  <c r="N29" i="1"/>
  <c r="J29" i="1"/>
  <c r="F29" i="1"/>
  <c r="R28" i="1"/>
  <c r="N28" i="1"/>
  <c r="J28" i="1"/>
  <c r="F28" i="1"/>
  <c r="Q26" i="1"/>
  <c r="P26" i="1"/>
  <c r="O26" i="1"/>
  <c r="M26" i="1"/>
  <c r="L26" i="1"/>
  <c r="K26" i="1"/>
  <c r="I26" i="1"/>
  <c r="H26" i="1"/>
  <c r="G26" i="1"/>
  <c r="E26" i="1"/>
  <c r="D26" i="1"/>
  <c r="C26" i="1"/>
  <c r="R25" i="1"/>
  <c r="N25" i="1"/>
  <c r="J25" i="1"/>
  <c r="F25" i="1"/>
  <c r="R24" i="1"/>
  <c r="N24" i="1"/>
  <c r="J24" i="1"/>
  <c r="F24" i="1"/>
  <c r="R23" i="1"/>
  <c r="N23" i="1"/>
  <c r="J23" i="1"/>
  <c r="F23" i="1"/>
  <c r="R22" i="1"/>
  <c r="N22" i="1"/>
  <c r="J22" i="1"/>
  <c r="F22" i="1"/>
  <c r="R19" i="1"/>
  <c r="N19" i="1"/>
  <c r="F19" i="1"/>
  <c r="Q15" i="1"/>
  <c r="P15" i="1"/>
  <c r="O15" i="1"/>
  <c r="M15" i="1"/>
  <c r="L15" i="1"/>
  <c r="K15" i="1"/>
  <c r="I15" i="1"/>
  <c r="H15" i="1"/>
  <c r="G15" i="1"/>
  <c r="E15" i="1"/>
  <c r="D15" i="1"/>
  <c r="C15" i="1"/>
  <c r="R14" i="1"/>
  <c r="N14" i="1"/>
  <c r="J14" i="1"/>
  <c r="F14" i="1"/>
  <c r="R12" i="1"/>
  <c r="N12" i="1"/>
  <c r="F12" i="1"/>
  <c r="R11" i="1"/>
  <c r="N11" i="1"/>
  <c r="J11" i="1"/>
  <c r="F11" i="1"/>
  <c r="O21" i="2" l="1"/>
  <c r="O31" i="2"/>
  <c r="S42" i="1"/>
  <c r="S21" i="1"/>
  <c r="S20" i="1"/>
  <c r="G37" i="1"/>
  <c r="G45" i="1" s="1"/>
  <c r="I37" i="1"/>
  <c r="I45" i="1" s="1"/>
  <c r="Q37" i="1"/>
  <c r="Q45" i="1" s="1"/>
  <c r="H37" i="1"/>
  <c r="H45" i="1" s="1"/>
  <c r="L37" i="1"/>
  <c r="L45" i="1" s="1"/>
  <c r="C37" i="1"/>
  <c r="C45" i="1" s="1"/>
  <c r="M37" i="1"/>
  <c r="M45" i="1" s="1"/>
  <c r="D37" i="1"/>
  <c r="D45" i="1" s="1"/>
  <c r="O37" i="1"/>
  <c r="O45" i="1" s="1"/>
  <c r="K37" i="1"/>
  <c r="K45" i="1" s="1"/>
  <c r="E37" i="1"/>
  <c r="E45" i="1" s="1"/>
  <c r="E4" i="1" s="1"/>
  <c r="P37" i="1"/>
  <c r="P45" i="1" s="1"/>
  <c r="S32" i="1"/>
  <c r="S41" i="1"/>
  <c r="S28" i="1"/>
  <c r="S29" i="1"/>
  <c r="J36" i="1"/>
  <c r="J43" i="1"/>
  <c r="R15" i="1"/>
  <c r="J15" i="1"/>
  <c r="S22" i="1"/>
  <c r="S31" i="1"/>
  <c r="F33" i="1"/>
  <c r="F36" i="1"/>
  <c r="N43" i="1"/>
  <c r="R33" i="1"/>
  <c r="S23" i="1"/>
  <c r="R26" i="1"/>
  <c r="N33" i="1"/>
  <c r="N36" i="1"/>
  <c r="S24" i="1"/>
  <c r="J26" i="1"/>
  <c r="R43" i="1"/>
  <c r="N26" i="1"/>
  <c r="R36" i="1"/>
  <c r="S19" i="1"/>
  <c r="N15" i="1"/>
  <c r="S25" i="1"/>
  <c r="S30" i="1"/>
  <c r="S12" i="1"/>
  <c r="F15" i="1"/>
  <c r="S14" i="1"/>
  <c r="J33" i="1"/>
  <c r="F26" i="1"/>
  <c r="S11" i="1"/>
  <c r="O32" i="2" l="1"/>
  <c r="P4" i="1"/>
  <c r="K4" i="1"/>
  <c r="S33" i="1"/>
  <c r="Q4" i="1"/>
  <c r="D4" i="1"/>
  <c r="S15" i="1"/>
  <c r="F37" i="1"/>
  <c r="S43" i="1"/>
  <c r="L4" i="1"/>
  <c r="M4" i="1"/>
  <c r="N37" i="1"/>
  <c r="S26" i="1"/>
  <c r="C4" i="1"/>
  <c r="F4" i="1" s="1"/>
  <c r="R37" i="1"/>
  <c r="G4" i="1"/>
  <c r="G5" i="1" s="1"/>
  <c r="J37" i="1"/>
  <c r="O4" i="1"/>
  <c r="D5" i="1" l="1"/>
  <c r="P5" i="1"/>
  <c r="C5" i="1"/>
  <c r="I4" i="1"/>
  <c r="I5" i="1" s="1"/>
  <c r="H4" i="1"/>
  <c r="O5" i="1"/>
  <c r="E5" i="1"/>
  <c r="F45" i="1"/>
  <c r="Q5" i="1"/>
  <c r="R45" i="1"/>
  <c r="N45" i="1"/>
  <c r="L5" i="1"/>
  <c r="J45" i="1"/>
  <c r="M5" i="1"/>
  <c r="K5" i="1"/>
  <c r="R4" i="1"/>
  <c r="N4" i="1"/>
  <c r="F5" i="1" l="1"/>
  <c r="H5" i="1"/>
  <c r="C6" i="1"/>
  <c r="D6" i="1" s="1"/>
  <c r="E6" i="1" s="1"/>
  <c r="G6" i="1" s="1"/>
  <c r="J4" i="1"/>
  <c r="S4" i="1" s="1"/>
  <c r="R5" i="1"/>
  <c r="S45" i="1"/>
  <c r="N5" i="1"/>
  <c r="J5" i="1" l="1"/>
  <c r="S5" i="1" s="1"/>
  <c r="H6" i="1"/>
  <c r="I6" i="1" s="1"/>
  <c r="K6" i="1" s="1"/>
  <c r="L6" i="1" s="1"/>
  <c r="M6" i="1" s="1"/>
  <c r="O6" i="1" s="1"/>
  <c r="P6" i="1" s="1"/>
  <c r="Q6" i="1" s="1"/>
</calcChain>
</file>

<file path=xl/sharedStrings.xml><?xml version="1.0" encoding="utf-8"?>
<sst xmlns="http://schemas.openxmlformats.org/spreadsheetml/2006/main" count="169" uniqueCount="97">
  <si>
    <t>يناير</t>
  </si>
  <si>
    <t>فبراير</t>
  </si>
  <si>
    <t>مارس</t>
  </si>
  <si>
    <t>إجمالي الربع الأول</t>
  </si>
  <si>
    <t>ابريل</t>
  </si>
  <si>
    <t>مايو</t>
  </si>
  <si>
    <t>يونيو</t>
  </si>
  <si>
    <t>إجمالي الربع الثاني</t>
  </si>
  <si>
    <t>يوليو</t>
  </si>
  <si>
    <t>اغسطس</t>
  </si>
  <si>
    <t>سبتمبر</t>
  </si>
  <si>
    <t>إجمالي الربع الثالث</t>
  </si>
  <si>
    <t>اكتوبر</t>
  </si>
  <si>
    <t>نوفمبر</t>
  </si>
  <si>
    <t>ديسمبر</t>
  </si>
  <si>
    <t>إجمالي الربع الرابع</t>
  </si>
  <si>
    <t>إجمالي السنة</t>
  </si>
  <si>
    <t>إجمالي النفقات</t>
  </si>
  <si>
    <t>الربح/الخسارة الشهري</t>
  </si>
  <si>
    <t>الربح/الخسارة السنوي</t>
  </si>
  <si>
    <t>الدخل الشهري</t>
  </si>
  <si>
    <t>المبيعات</t>
  </si>
  <si>
    <t>إجمالي المبيعات</t>
  </si>
  <si>
    <t>النفقات - التشغيلية</t>
  </si>
  <si>
    <t>عام/إداري</t>
  </si>
  <si>
    <t>لوازم مكتبية</t>
  </si>
  <si>
    <t>إجمالي العام/الإداري</t>
  </si>
  <si>
    <t>العمليات</t>
  </si>
  <si>
    <t>إجمالي العمليات</t>
  </si>
  <si>
    <t>التسويق/الترويج</t>
  </si>
  <si>
    <t>الإعلانات</t>
  </si>
  <si>
    <t>إجمالي التسويق/الترويج</t>
  </si>
  <si>
    <t>إجمالي النفقات - التشغيلية</t>
  </si>
  <si>
    <t>النفقات - التوظيف</t>
  </si>
  <si>
    <t>الرواتب/الأجور</t>
  </si>
  <si>
    <t>الأرباح والخسائر المتوقعة</t>
  </si>
  <si>
    <t xml:space="preserve">اجار مشروع النظيم </t>
  </si>
  <si>
    <t xml:space="preserve">اجار مشروع لبن بقيمة 1400 ريال للمتر </t>
  </si>
  <si>
    <t>اجار مشروع العقيق بقيمة 2500 ريال</t>
  </si>
  <si>
    <t xml:space="preserve">بيع وحدات مشروع النسيم  توقع بيع وحدتين على الخارطة </t>
  </si>
  <si>
    <t>إجمالي المبيعات المتوقعة</t>
  </si>
  <si>
    <t xml:space="preserve">إجمالي النفقات المتوقعة </t>
  </si>
  <si>
    <t xml:space="preserve">عمولات بنكية </t>
  </si>
  <si>
    <t xml:space="preserve">رسوم استشارات اتعاب المحامي الاحمري </t>
  </si>
  <si>
    <t>اجار سيارات</t>
  </si>
  <si>
    <t>مصاريف مطبخ مكتب</t>
  </si>
  <si>
    <t xml:space="preserve">مصاريف نثرية مكتبية </t>
  </si>
  <si>
    <t xml:space="preserve">الاشتراكات سيرفر وايميل </t>
  </si>
  <si>
    <t xml:space="preserve">اشتراك رقم موحد </t>
  </si>
  <si>
    <t xml:space="preserve">اجار مكتب التعاون الجديد </t>
  </si>
  <si>
    <t xml:space="preserve">فواتير كهرباء وانترنت </t>
  </si>
  <si>
    <t xml:space="preserve">إجمالي التوظيف </t>
  </si>
  <si>
    <t>رسوم فوائد تمويل بداية</t>
  </si>
  <si>
    <t>رسوم فوائد تمويل ارات</t>
  </si>
  <si>
    <t>البيان</t>
  </si>
  <si>
    <t xml:space="preserve">مارس </t>
  </si>
  <si>
    <t xml:space="preserve">مايو </t>
  </si>
  <si>
    <t xml:space="preserve">يونيو </t>
  </si>
  <si>
    <t xml:space="preserve">يوليو </t>
  </si>
  <si>
    <t>أغسطس</t>
  </si>
  <si>
    <t xml:space="preserve">سبتمبر </t>
  </si>
  <si>
    <t>أكتوبر</t>
  </si>
  <si>
    <t>الإجمالي</t>
  </si>
  <si>
    <t>المورد</t>
  </si>
  <si>
    <t>دفعات مشروع النسيم</t>
  </si>
  <si>
    <t>شركة عالم الابداع</t>
  </si>
  <si>
    <t xml:space="preserve">دفعات مشروع لبن </t>
  </si>
  <si>
    <t>مؤسسة الكيان الوطنى للمقاولات</t>
  </si>
  <si>
    <t>الإجمالي الشهري</t>
  </si>
  <si>
    <t xml:space="preserve">دفعات نفقات شهرية </t>
  </si>
  <si>
    <t>التامينات الاجتماعية</t>
  </si>
  <si>
    <t>التدفقات النقدية</t>
  </si>
  <si>
    <t xml:space="preserve">التدفقات النقدية من عمليات التمويل </t>
  </si>
  <si>
    <t>شركة بداية للتمويل</t>
  </si>
  <si>
    <t>دفعات أقساط تمويلية بداية  تمويل 1,670,200 ريال</t>
  </si>
  <si>
    <t>سداد فوائد تمويل ارات طرح اول + ثاني + ثالث</t>
  </si>
  <si>
    <t xml:space="preserve">شركة ارات </t>
  </si>
  <si>
    <t xml:space="preserve">سداد مستحقات التصميم </t>
  </si>
  <si>
    <t xml:space="preserve">شركة جلو ارك تصميم </t>
  </si>
  <si>
    <t xml:space="preserve">سداد مستحقات حفر مشروع لبن </t>
  </si>
  <si>
    <t>شركة غزل الخليج</t>
  </si>
  <si>
    <t>سداد مستحقات حفر مشروع العقيق</t>
  </si>
  <si>
    <t>سداد اجار ارض العقيق السنة الثانية</t>
  </si>
  <si>
    <t>سداد اجار ارض لبن السنة الثانية</t>
  </si>
  <si>
    <t>دفعة مقاول مكيفات النظيم</t>
  </si>
  <si>
    <t xml:space="preserve">شريف منير </t>
  </si>
  <si>
    <t xml:space="preserve">دفعة الثالثة عن مشروع العوالي </t>
  </si>
  <si>
    <t>مكتب العوالي</t>
  </si>
  <si>
    <t>شراء سيارة عدد 1 أصول للشركة</t>
  </si>
  <si>
    <t xml:space="preserve">سداد اجار مكتب التعاون لمدة سنة </t>
  </si>
  <si>
    <t xml:space="preserve">لم يتم تحديد المقاول بعد </t>
  </si>
  <si>
    <t>دفعات مقاول مشروع العقيق (ملاحظة: المبلغ تقديري)</t>
  </si>
  <si>
    <t>التدفق النقدي ايجار مستودع النظيم</t>
  </si>
  <si>
    <t>التدفق النقدي ايجار معرض لبن</t>
  </si>
  <si>
    <t>التدفق النقدي من ايراد بيع وحدات نسيم</t>
  </si>
  <si>
    <t>التدفق النقدي من ايراد تاجير معرض العقيق</t>
  </si>
  <si>
    <t xml:space="preserve">دفعات أخرى دفعت خلال شهر فبراير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</si>
</sst>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ر.س.‏-401]_-;\-* #,##0.00\ [$ر.س.‏-401]_-;_-* &quot;-&quot;??\ [$ر.س.‏-401]_-;_-@_-"/>
  </numFmts>
  <fonts count="15" x14ac:knownFonts="1">
    <font>
      <sz val="12"/>
      <color theme="1"/>
      <name val="Calibri"/>
      <scheme val="minor"/>
    </font>
    <font>
      <sz val="10"/>
      <color theme="1"/>
      <name val="Century Gothic"/>
    </font>
    <font>
      <sz val="12"/>
      <color theme="1"/>
      <name val="Century Gothic"/>
    </font>
    <font>
      <sz val="12"/>
      <color theme="1"/>
      <name val="Calibri"/>
    </font>
    <font>
      <sz val="10"/>
      <color rgb="FF7F7F7F"/>
      <name val="Century Gothic"/>
    </font>
    <font>
      <sz val="12"/>
      <color theme="1"/>
      <name val="Calibri"/>
      <scheme val="minor"/>
    </font>
    <font>
      <b/>
      <sz val="12"/>
      <color theme="1"/>
      <name val="Century Gothic"/>
    </font>
    <font>
      <b/>
      <sz val="10"/>
      <color theme="1"/>
      <name val="Century Gothic"/>
    </font>
    <font>
      <b/>
      <sz val="10"/>
      <color theme="1"/>
      <name val="Calibri"/>
    </font>
    <font>
      <b/>
      <sz val="11"/>
      <color theme="1"/>
      <name val="Century Gothic"/>
    </font>
    <font>
      <sz val="10"/>
      <color theme="1"/>
      <name val="Calibri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EAEEF3"/>
        <bgColor rgb="FFEAEEF3"/>
      </patternFill>
    </fill>
    <fill>
      <patternFill patternType="solid">
        <fgColor rgb="FFB4C6E7"/>
        <bgColor rgb="FFB4C6E7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</fills>
  <borders count="19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double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double">
        <color rgb="FFF2F2F2"/>
      </bottom>
      <diagonal/>
    </border>
    <border>
      <left style="thin">
        <color rgb="FFF2F2F2"/>
      </left>
      <right style="double">
        <color rgb="FFF2F2F2"/>
      </right>
      <top/>
      <bottom style="double">
        <color rgb="FFF2F2F2"/>
      </bottom>
      <diagonal/>
    </border>
    <border>
      <left/>
      <right style="thin">
        <color rgb="FFF2F2F2"/>
      </right>
      <top/>
      <bottom style="double">
        <color rgb="FFF2F2F2"/>
      </bottom>
      <diagonal/>
    </border>
    <border>
      <left style="thin">
        <color rgb="FFF2F2F2"/>
      </left>
      <right style="thin">
        <color rgb="FFF2F2F2"/>
      </right>
      <top style="double">
        <color rgb="FFF2F2F2"/>
      </top>
      <bottom style="thick">
        <color rgb="FFF2F2F2"/>
      </bottom>
      <diagonal/>
    </border>
    <border>
      <left style="thin">
        <color rgb="FFF2F2F2"/>
      </left>
      <right style="double">
        <color rgb="FFF2F2F2"/>
      </right>
      <top style="double">
        <color rgb="FFF2F2F2"/>
      </top>
      <bottom style="thick">
        <color rgb="FFF2F2F2"/>
      </bottom>
      <diagonal/>
    </border>
    <border>
      <left/>
      <right style="thin">
        <color rgb="FFF2F2F2"/>
      </right>
      <top style="double">
        <color rgb="FFF2F2F2"/>
      </top>
      <bottom style="thick">
        <color rgb="FFF2F2F2"/>
      </bottom>
      <diagonal/>
    </border>
    <border>
      <left style="thin">
        <color rgb="FFF2F2F2"/>
      </left>
      <right style="thin">
        <color rgb="FFF2F2F2"/>
      </right>
      <top/>
      <bottom style="medium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 style="thin">
        <color rgb="FFF2F2F2"/>
      </right>
      <top/>
      <bottom style="medium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rgb="FFF2F2F2"/>
      </bottom>
      <diagonal/>
    </border>
    <border>
      <left style="thin">
        <color rgb="FFF2F2F2"/>
      </left>
      <right style="double">
        <color rgb="FFF2F2F2"/>
      </right>
      <top style="thin">
        <color rgb="FFF2F2F2"/>
      </top>
      <bottom style="medium">
        <color rgb="FFF2F2F2"/>
      </bottom>
      <diagonal/>
    </border>
    <border>
      <left/>
      <right style="thin">
        <color rgb="FFF2F2F2"/>
      </right>
      <top style="thin">
        <color rgb="FFF2F2F2"/>
      </top>
      <bottom style="medium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0" borderId="0" xfId="0" applyFont="1" applyAlignment="1">
      <alignment horizontal="center" readingOrder="2"/>
    </xf>
    <xf numFmtId="0" fontId="5" fillId="0" borderId="0" xfId="0" applyFont="1" applyAlignment="1">
      <alignment horizontal="center" readingOrder="2"/>
    </xf>
    <xf numFmtId="0" fontId="5" fillId="0" borderId="0" xfId="0" applyFont="1" applyAlignment="1">
      <alignment horizontal="right" readingOrder="2"/>
    </xf>
    <xf numFmtId="0" fontId="2" fillId="0" borderId="0" xfId="0" applyFont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0" fontId="2" fillId="5" borderId="2" xfId="0" applyFont="1" applyFill="1" applyBorder="1" applyAlignment="1">
      <alignment horizontal="center" vertical="center" readingOrder="2"/>
    </xf>
    <xf numFmtId="0" fontId="2" fillId="6" borderId="3" xfId="0" applyFont="1" applyFill="1" applyBorder="1" applyAlignment="1">
      <alignment horizontal="center" vertical="center" readingOrder="2"/>
    </xf>
    <xf numFmtId="0" fontId="2" fillId="6" borderId="1" xfId="0" applyFont="1" applyFill="1" applyBorder="1" applyAlignment="1">
      <alignment horizontal="center" vertical="center" readingOrder="2"/>
    </xf>
    <xf numFmtId="0" fontId="2" fillId="7" borderId="2" xfId="0" applyFont="1" applyFill="1" applyBorder="1" applyAlignment="1">
      <alignment horizontal="center" vertical="center" readingOrder="2"/>
    </xf>
    <xf numFmtId="0" fontId="2" fillId="8" borderId="3" xfId="0" applyFont="1" applyFill="1" applyBorder="1" applyAlignment="1">
      <alignment horizontal="center" vertical="center" readingOrder="2"/>
    </xf>
    <xf numFmtId="0" fontId="2" fillId="8" borderId="1" xfId="0" applyFont="1" applyFill="1" applyBorder="1" applyAlignment="1">
      <alignment horizontal="center" vertical="center" readingOrder="2"/>
    </xf>
    <xf numFmtId="0" fontId="2" fillId="9" borderId="2" xfId="0" applyFont="1" applyFill="1" applyBorder="1" applyAlignment="1">
      <alignment horizontal="center" vertical="center" readingOrder="2"/>
    </xf>
    <xf numFmtId="0" fontId="2" fillId="10" borderId="3" xfId="0" applyFont="1" applyFill="1" applyBorder="1" applyAlignment="1">
      <alignment horizontal="center" vertical="center" readingOrder="2"/>
    </xf>
    <xf numFmtId="0" fontId="2" fillId="10" borderId="1" xfId="0" applyFont="1" applyFill="1" applyBorder="1" applyAlignment="1">
      <alignment horizontal="center" vertical="center" readingOrder="2"/>
    </xf>
    <xf numFmtId="0" fontId="2" fillId="11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0" fontId="2" fillId="15" borderId="2" xfId="0" applyFont="1" applyFill="1" applyBorder="1" applyAlignment="1">
      <alignment horizontal="center" vertical="center" readingOrder="2"/>
    </xf>
    <xf numFmtId="0" fontId="9" fillId="15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0" fontId="10" fillId="2" borderId="2" xfId="0" applyFont="1" applyFill="1" applyBorder="1" applyAlignment="1">
      <alignment horizontal="center" vertical="center" readingOrder="2"/>
    </xf>
    <xf numFmtId="0" fontId="10" fillId="2" borderId="3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7" fillId="0" borderId="13" xfId="0" applyFont="1" applyBorder="1" applyAlignment="1">
      <alignment horizontal="center" vertical="center" readingOrder="2"/>
    </xf>
    <xf numFmtId="0" fontId="7" fillId="3" borderId="13" xfId="0" applyFont="1" applyFill="1" applyBorder="1" applyAlignment="1">
      <alignment horizontal="center" vertical="center" readingOrder="2"/>
    </xf>
    <xf numFmtId="0" fontId="3" fillId="0" borderId="0" xfId="0" applyFont="1" applyAlignment="1">
      <alignment horizontal="right" readingOrder="2"/>
    </xf>
    <xf numFmtId="0" fontId="3" fillId="0" borderId="0" xfId="0" applyFont="1"/>
    <xf numFmtId="164" fontId="3" fillId="0" borderId="0" xfId="0" applyNumberFormat="1" applyFont="1" applyAlignment="1">
      <alignment horizontal="center" readingOrder="2"/>
    </xf>
    <xf numFmtId="164" fontId="4" fillId="0" borderId="0" xfId="0" applyNumberFormat="1" applyFont="1" applyAlignment="1">
      <alignment horizontal="center" readingOrder="2"/>
    </xf>
    <xf numFmtId="164" fontId="5" fillId="0" borderId="0" xfId="0" applyNumberFormat="1" applyFont="1" applyAlignment="1">
      <alignment horizontal="center" readingOrder="2"/>
    </xf>
    <xf numFmtId="164" fontId="2" fillId="0" borderId="0" xfId="0" applyNumberFormat="1" applyFont="1" applyAlignment="1">
      <alignment horizontal="center" vertical="center" readingOrder="2"/>
    </xf>
    <xf numFmtId="164" fontId="6" fillId="3" borderId="1" xfId="0" applyNumberFormat="1" applyFont="1" applyFill="1" applyBorder="1" applyAlignment="1">
      <alignment horizontal="center" vertical="center" readingOrder="2"/>
    </xf>
    <xf numFmtId="164" fontId="2" fillId="4" borderId="1" xfId="0" applyNumberFormat="1" applyFont="1" applyFill="1" applyBorder="1" applyAlignment="1">
      <alignment horizontal="center" vertical="center" readingOrder="2"/>
    </xf>
    <xf numFmtId="164" fontId="2" fillId="5" borderId="2" xfId="0" applyNumberFormat="1" applyFont="1" applyFill="1" applyBorder="1" applyAlignment="1">
      <alignment horizontal="center" vertical="center" readingOrder="2"/>
    </xf>
    <xf numFmtId="164" fontId="2" fillId="6" borderId="3" xfId="0" applyNumberFormat="1" applyFont="1" applyFill="1" applyBorder="1" applyAlignment="1">
      <alignment horizontal="center" vertical="center" readingOrder="2"/>
    </xf>
    <xf numFmtId="164" fontId="2" fillId="6" borderId="1" xfId="0" applyNumberFormat="1" applyFont="1" applyFill="1" applyBorder="1" applyAlignment="1">
      <alignment horizontal="center" vertical="center" readingOrder="2"/>
    </xf>
    <xf numFmtId="164" fontId="2" fillId="7" borderId="2" xfId="0" applyNumberFormat="1" applyFont="1" applyFill="1" applyBorder="1" applyAlignment="1">
      <alignment horizontal="center" vertical="center" readingOrder="2"/>
    </xf>
    <xf numFmtId="164" fontId="2" fillId="8" borderId="3" xfId="0" applyNumberFormat="1" applyFont="1" applyFill="1" applyBorder="1" applyAlignment="1">
      <alignment horizontal="center" vertical="center" readingOrder="2"/>
    </xf>
    <xf numFmtId="164" fontId="2" fillId="8" borderId="1" xfId="0" applyNumberFormat="1" applyFont="1" applyFill="1" applyBorder="1" applyAlignment="1">
      <alignment horizontal="center" vertical="center" readingOrder="2"/>
    </xf>
    <xf numFmtId="164" fontId="2" fillId="9" borderId="2" xfId="0" applyNumberFormat="1" applyFont="1" applyFill="1" applyBorder="1" applyAlignment="1">
      <alignment horizontal="center" vertical="center" readingOrder="2"/>
    </xf>
    <xf numFmtId="164" fontId="2" fillId="10" borderId="3" xfId="0" applyNumberFormat="1" applyFont="1" applyFill="1" applyBorder="1" applyAlignment="1">
      <alignment horizontal="center" vertical="center" readingOrder="2"/>
    </xf>
    <xf numFmtId="164" fontId="2" fillId="10" borderId="1" xfId="0" applyNumberFormat="1" applyFont="1" applyFill="1" applyBorder="1" applyAlignment="1">
      <alignment horizontal="center" vertical="center" readingOrder="2"/>
    </xf>
    <xf numFmtId="164" fontId="2" fillId="3" borderId="2" xfId="0" applyNumberFormat="1" applyFont="1" applyFill="1" applyBorder="1" applyAlignment="1">
      <alignment horizontal="center" vertical="center" readingOrder="2"/>
    </xf>
    <xf numFmtId="164" fontId="2" fillId="11" borderId="3" xfId="0" applyNumberFormat="1" applyFont="1" applyFill="1" applyBorder="1" applyAlignment="1">
      <alignment horizontal="center" vertical="center" readingOrder="2"/>
    </xf>
    <xf numFmtId="164" fontId="1" fillId="4" borderId="4" xfId="0" applyNumberFormat="1" applyFont="1" applyFill="1" applyBorder="1" applyAlignment="1">
      <alignment horizontal="center" vertical="center" readingOrder="2"/>
    </xf>
    <xf numFmtId="164" fontId="1" fillId="5" borderId="5" xfId="0" applyNumberFormat="1" applyFont="1" applyFill="1" applyBorder="1" applyAlignment="1">
      <alignment horizontal="center" vertical="center" readingOrder="2"/>
    </xf>
    <xf numFmtId="164" fontId="1" fillId="6" borderId="6" xfId="0" applyNumberFormat="1" applyFont="1" applyFill="1" applyBorder="1" applyAlignment="1">
      <alignment horizontal="center" vertical="center" readingOrder="2"/>
    </xf>
    <xf numFmtId="164" fontId="1" fillId="7" borderId="5" xfId="0" applyNumberFormat="1" applyFont="1" applyFill="1" applyBorder="1" applyAlignment="1">
      <alignment horizontal="center" vertical="center" readingOrder="2"/>
    </xf>
    <xf numFmtId="164" fontId="1" fillId="8" borderId="6" xfId="0" applyNumberFormat="1" applyFont="1" applyFill="1" applyBorder="1" applyAlignment="1">
      <alignment horizontal="center" vertical="center" readingOrder="2"/>
    </xf>
    <xf numFmtId="164" fontId="1" fillId="9" borderId="5" xfId="0" applyNumberFormat="1" applyFont="1" applyFill="1" applyBorder="1" applyAlignment="1">
      <alignment horizontal="center" vertical="center" readingOrder="2"/>
    </xf>
    <xf numFmtId="164" fontId="1" fillId="10" borderId="6" xfId="0" applyNumberFormat="1" applyFont="1" applyFill="1" applyBorder="1" applyAlignment="1">
      <alignment horizontal="center" vertical="center" readingOrder="2"/>
    </xf>
    <xf numFmtId="164" fontId="1" fillId="3" borderId="5" xfId="0" applyNumberFormat="1" applyFont="1" applyFill="1" applyBorder="1" applyAlignment="1">
      <alignment horizontal="center" vertical="center" readingOrder="2"/>
    </xf>
    <xf numFmtId="164" fontId="7" fillId="11" borderId="6" xfId="0" applyNumberFormat="1" applyFont="1" applyFill="1" applyBorder="1" applyAlignment="1">
      <alignment horizontal="center" vertical="center" readingOrder="2"/>
    </xf>
    <xf numFmtId="164" fontId="7" fillId="3" borderId="7" xfId="0" applyNumberFormat="1" applyFont="1" applyFill="1" applyBorder="1" applyAlignment="1">
      <alignment horizontal="center" vertical="center" readingOrder="2"/>
    </xf>
    <xf numFmtId="164" fontId="1" fillId="5" borderId="7" xfId="0" applyNumberFormat="1" applyFont="1" applyFill="1" applyBorder="1" applyAlignment="1">
      <alignment horizontal="center" vertical="center" readingOrder="2"/>
    </xf>
    <xf numFmtId="164" fontId="1" fillId="12" borderId="8" xfId="0" applyNumberFormat="1" applyFont="1" applyFill="1" applyBorder="1" applyAlignment="1">
      <alignment horizontal="center" vertical="center" readingOrder="2"/>
    </xf>
    <xf numFmtId="164" fontId="1" fillId="7" borderId="9" xfId="0" applyNumberFormat="1" applyFont="1" applyFill="1" applyBorder="1" applyAlignment="1">
      <alignment horizontal="center" vertical="center" readingOrder="2"/>
    </xf>
    <xf numFmtId="164" fontId="1" fillId="13" borderId="8" xfId="0" applyNumberFormat="1" applyFont="1" applyFill="1" applyBorder="1" applyAlignment="1">
      <alignment horizontal="center" vertical="center" readingOrder="2"/>
    </xf>
    <xf numFmtId="164" fontId="1" fillId="9" borderId="9" xfId="0" applyNumberFormat="1" applyFont="1" applyFill="1" applyBorder="1" applyAlignment="1">
      <alignment horizontal="center" vertical="center" readingOrder="2"/>
    </xf>
    <xf numFmtId="164" fontId="1" fillId="14" borderId="8" xfId="0" applyNumberFormat="1" applyFont="1" applyFill="1" applyBorder="1" applyAlignment="1">
      <alignment horizontal="center" vertical="center" readingOrder="2"/>
    </xf>
    <xf numFmtId="164" fontId="1" fillId="3" borderId="9" xfId="0" applyNumberFormat="1" applyFont="1" applyFill="1" applyBorder="1" applyAlignment="1">
      <alignment horizontal="center" vertical="center" readingOrder="2"/>
    </xf>
    <xf numFmtId="164" fontId="1" fillId="15" borderId="8" xfId="0" applyNumberFormat="1" applyFont="1" applyFill="1" applyBorder="1" applyAlignment="1">
      <alignment horizontal="center" vertical="center" readingOrder="2"/>
    </xf>
    <xf numFmtId="164" fontId="7" fillId="16" borderId="9" xfId="0" applyNumberFormat="1" applyFont="1" applyFill="1" applyBorder="1" applyAlignment="1">
      <alignment horizontal="center" vertical="center" readingOrder="2"/>
    </xf>
    <xf numFmtId="164" fontId="7" fillId="3" borderId="10" xfId="0" applyNumberFormat="1" applyFont="1" applyFill="1" applyBorder="1" applyAlignment="1">
      <alignment horizontal="center" vertical="center" readingOrder="2"/>
    </xf>
    <xf numFmtId="164" fontId="7" fillId="12" borderId="10" xfId="0" applyNumberFormat="1" applyFont="1" applyFill="1" applyBorder="1" applyAlignment="1">
      <alignment horizontal="center" vertical="center" readingOrder="2"/>
    </xf>
    <xf numFmtId="164" fontId="8" fillId="2" borderId="11" xfId="0" applyNumberFormat="1" applyFont="1" applyFill="1" applyBorder="1" applyAlignment="1">
      <alignment horizontal="center" vertical="center" readingOrder="2"/>
    </xf>
    <xf numFmtId="164" fontId="7" fillId="13" borderId="12" xfId="0" applyNumberFormat="1" applyFont="1" applyFill="1" applyBorder="1" applyAlignment="1">
      <alignment horizontal="center" vertical="center" readingOrder="2"/>
    </xf>
    <xf numFmtId="164" fontId="7" fillId="14" borderId="12" xfId="0" applyNumberFormat="1" applyFont="1" applyFill="1" applyBorder="1" applyAlignment="1">
      <alignment horizontal="center" vertical="center" readingOrder="2"/>
    </xf>
    <xf numFmtId="164" fontId="7" fillId="15" borderId="12" xfId="0" applyNumberFormat="1" applyFont="1" applyFill="1" applyBorder="1" applyAlignment="1">
      <alignment horizontal="center" vertical="center" readingOrder="2"/>
    </xf>
    <xf numFmtId="164" fontId="2" fillId="15" borderId="2" xfId="0" applyNumberFormat="1" applyFont="1" applyFill="1" applyBorder="1" applyAlignment="1">
      <alignment horizontal="center" vertical="center" readingOrder="2"/>
    </xf>
    <xf numFmtId="164" fontId="9" fillId="15" borderId="1" xfId="0" applyNumberFormat="1" applyFont="1" applyFill="1" applyBorder="1" applyAlignment="1">
      <alignment horizontal="center" vertical="center" readingOrder="2"/>
    </xf>
    <xf numFmtId="164" fontId="10" fillId="2" borderId="1" xfId="0" applyNumberFormat="1" applyFont="1" applyFill="1" applyBorder="1" applyAlignment="1">
      <alignment horizontal="center" vertical="center" readingOrder="2"/>
    </xf>
    <xf numFmtId="164" fontId="10" fillId="2" borderId="2" xfId="0" applyNumberFormat="1" applyFont="1" applyFill="1" applyBorder="1" applyAlignment="1">
      <alignment horizontal="center" vertical="center" readingOrder="2"/>
    </xf>
    <xf numFmtId="164" fontId="10" fillId="2" borderId="3" xfId="0" applyNumberFormat="1" applyFont="1" applyFill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164" fontId="1" fillId="5" borderId="1" xfId="0" applyNumberFormat="1" applyFont="1" applyFill="1" applyBorder="1" applyAlignment="1">
      <alignment horizontal="center" vertical="center" readingOrder="2"/>
    </xf>
    <xf numFmtId="164" fontId="1" fillId="12" borderId="2" xfId="0" applyNumberFormat="1" applyFont="1" applyFill="1" applyBorder="1" applyAlignment="1">
      <alignment horizontal="center" vertical="center" readingOrder="2"/>
    </xf>
    <xf numFmtId="164" fontId="1" fillId="17" borderId="3" xfId="0" applyNumberFormat="1" applyFont="1" applyFill="1" applyBorder="1" applyAlignment="1">
      <alignment horizontal="center" vertical="center" readingOrder="2"/>
    </xf>
    <xf numFmtId="164" fontId="1" fillId="18" borderId="2" xfId="0" applyNumberFormat="1" applyFont="1" applyFill="1" applyBorder="1" applyAlignment="1">
      <alignment horizontal="center" vertical="center" readingOrder="2"/>
    </xf>
    <xf numFmtId="164" fontId="1" fillId="9" borderId="3" xfId="0" applyNumberFormat="1" applyFont="1" applyFill="1" applyBorder="1" applyAlignment="1">
      <alignment horizontal="center" vertical="center" readingOrder="2"/>
    </xf>
    <xf numFmtId="164" fontId="1" fillId="14" borderId="2" xfId="0" applyNumberFormat="1" applyFont="1" applyFill="1" applyBorder="1" applyAlignment="1">
      <alignment horizontal="center" vertical="center" readingOrder="2"/>
    </xf>
    <xf numFmtId="164" fontId="1" fillId="3" borderId="3" xfId="0" applyNumberFormat="1" applyFont="1" applyFill="1" applyBorder="1" applyAlignment="1">
      <alignment horizontal="center" vertical="center" readingOrder="2"/>
    </xf>
    <xf numFmtId="164" fontId="1" fillId="3" borderId="1" xfId="0" applyNumberFormat="1" applyFont="1" applyFill="1" applyBorder="1" applyAlignment="1">
      <alignment horizontal="center" vertical="center" readingOrder="2"/>
    </xf>
    <xf numFmtId="164" fontId="1" fillId="15" borderId="2" xfId="0" applyNumberFormat="1" applyFont="1" applyFill="1" applyBorder="1" applyAlignment="1">
      <alignment horizontal="center" vertical="center" readingOrder="2"/>
    </xf>
    <xf numFmtId="164" fontId="7" fillId="19" borderId="3" xfId="0" applyNumberFormat="1" applyFont="1" applyFill="1" applyBorder="1" applyAlignment="1">
      <alignment horizontal="center" vertical="center" readingOrder="2"/>
    </xf>
    <xf numFmtId="164" fontId="1" fillId="17" borderId="1" xfId="0" applyNumberFormat="1" applyFont="1" applyFill="1" applyBorder="1" applyAlignment="1">
      <alignment horizontal="center" vertical="center" readingOrder="2"/>
    </xf>
    <xf numFmtId="164" fontId="1" fillId="9" borderId="1" xfId="0" applyNumberFormat="1" applyFont="1" applyFill="1" applyBorder="1" applyAlignment="1">
      <alignment horizontal="center" vertical="center" readingOrder="2"/>
    </xf>
    <xf numFmtId="164" fontId="7" fillId="0" borderId="13" xfId="0" applyNumberFormat="1" applyFont="1" applyBorder="1" applyAlignment="1">
      <alignment horizontal="center" vertical="center" readingOrder="2"/>
    </xf>
    <xf numFmtId="164" fontId="1" fillId="2" borderId="13" xfId="0" applyNumberFormat="1" applyFont="1" applyFill="1" applyBorder="1" applyAlignment="1">
      <alignment horizontal="center" vertical="center" readingOrder="2"/>
    </xf>
    <xf numFmtId="164" fontId="1" fillId="0" borderId="13" xfId="0" applyNumberFormat="1" applyFont="1" applyBorder="1" applyAlignment="1">
      <alignment horizontal="center" vertical="center" readingOrder="2"/>
    </xf>
    <xf numFmtId="164" fontId="1" fillId="0" borderId="14" xfId="0" applyNumberFormat="1" applyFont="1" applyBorder="1" applyAlignment="1">
      <alignment horizontal="center" vertical="center" readingOrder="2"/>
    </xf>
    <xf numFmtId="164" fontId="7" fillId="16" borderId="15" xfId="0" applyNumberFormat="1" applyFont="1" applyFill="1" applyBorder="1" applyAlignment="1">
      <alignment horizontal="center" vertical="center" readingOrder="2"/>
    </xf>
    <xf numFmtId="164" fontId="1" fillId="4" borderId="13" xfId="0" applyNumberFormat="1" applyFont="1" applyFill="1" applyBorder="1" applyAlignment="1">
      <alignment horizontal="center" vertical="center" readingOrder="2"/>
    </xf>
    <xf numFmtId="164" fontId="1" fillId="5" borderId="14" xfId="0" applyNumberFormat="1" applyFont="1" applyFill="1" applyBorder="1" applyAlignment="1">
      <alignment horizontal="center" vertical="center" readingOrder="2"/>
    </xf>
    <xf numFmtId="164" fontId="1" fillId="7" borderId="14" xfId="0" applyNumberFormat="1" applyFont="1" applyFill="1" applyBorder="1" applyAlignment="1">
      <alignment horizontal="center" vertical="center" readingOrder="2"/>
    </xf>
    <xf numFmtId="164" fontId="1" fillId="9" borderId="14" xfId="0" applyNumberFormat="1" applyFont="1" applyFill="1" applyBorder="1" applyAlignment="1">
      <alignment horizontal="center" vertical="center" readingOrder="2"/>
    </xf>
    <xf numFmtId="164" fontId="1" fillId="15" borderId="14" xfId="0" applyNumberFormat="1" applyFont="1" applyFill="1" applyBorder="1" applyAlignment="1">
      <alignment horizontal="center" vertical="center" readingOrder="2"/>
    </xf>
    <xf numFmtId="164" fontId="7" fillId="11" borderId="15" xfId="0" applyNumberFormat="1" applyFont="1" applyFill="1" applyBorder="1" applyAlignment="1">
      <alignment horizontal="center" vertical="center" readingOrder="2"/>
    </xf>
    <xf numFmtId="164" fontId="1" fillId="5" borderId="16" xfId="0" applyNumberFormat="1" applyFont="1" applyFill="1" applyBorder="1" applyAlignment="1">
      <alignment horizontal="center" vertical="center" readingOrder="2"/>
    </xf>
    <xf numFmtId="164" fontId="12" fillId="4" borderId="1" xfId="0" applyNumberFormat="1" applyFont="1" applyFill="1" applyBorder="1" applyAlignment="1">
      <alignment horizontal="center" vertical="center" readingOrder="2"/>
    </xf>
    <xf numFmtId="164" fontId="12" fillId="6" borderId="3" xfId="0" applyNumberFormat="1" applyFont="1" applyFill="1" applyBorder="1" applyAlignment="1">
      <alignment horizontal="center" vertical="center" readingOrder="2"/>
    </xf>
    <xf numFmtId="164" fontId="12" fillId="8" borderId="1" xfId="0" applyNumberFormat="1" applyFont="1" applyFill="1" applyBorder="1" applyAlignment="1">
      <alignment horizontal="center" vertical="center" readingOrder="2"/>
    </xf>
    <xf numFmtId="164" fontId="12" fillId="10" borderId="3" xfId="0" applyNumberFormat="1" applyFont="1" applyFill="1" applyBorder="1" applyAlignment="1">
      <alignment horizontal="center" vertical="center" readingOrder="2"/>
    </xf>
    <xf numFmtId="164" fontId="13" fillId="3" borderId="4" xfId="0" applyNumberFormat="1" applyFont="1" applyFill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164" fontId="5" fillId="0" borderId="0" xfId="0" applyNumberFormat="1" applyFont="1" applyAlignment="1">
      <alignment horizontal="right" readingOrder="2"/>
    </xf>
    <xf numFmtId="164" fontId="0" fillId="0" borderId="0" xfId="0" applyNumberFormat="1"/>
    <xf numFmtId="164" fontId="1" fillId="12" borderId="13" xfId="0" applyNumberFormat="1" applyFont="1" applyFill="1" applyBorder="1" applyAlignment="1">
      <alignment horizontal="center" vertical="center" readingOrder="2"/>
    </xf>
    <xf numFmtId="164" fontId="1" fillId="18" borderId="15" xfId="0" applyNumberFormat="1" applyFont="1" applyFill="1" applyBorder="1" applyAlignment="1">
      <alignment horizontal="center" vertical="center" readingOrder="2"/>
    </xf>
    <xf numFmtId="164" fontId="1" fillId="18" borderId="13" xfId="0" applyNumberFormat="1" applyFont="1" applyFill="1" applyBorder="1" applyAlignment="1">
      <alignment horizontal="center" vertical="center" readingOrder="2"/>
    </xf>
    <xf numFmtId="164" fontId="1" fillId="14" borderId="15" xfId="0" applyNumberFormat="1" applyFont="1" applyFill="1" applyBorder="1" applyAlignment="1">
      <alignment horizontal="center" vertical="center" readingOrder="2"/>
    </xf>
    <xf numFmtId="164" fontId="1" fillId="14" borderId="13" xfId="0" applyNumberFormat="1" applyFont="1" applyFill="1" applyBorder="1" applyAlignment="1">
      <alignment horizontal="center" vertical="center" readingOrder="2"/>
    </xf>
    <xf numFmtId="164" fontId="1" fillId="15" borderId="15" xfId="0" applyNumberFormat="1" applyFont="1" applyFill="1" applyBorder="1" applyAlignment="1">
      <alignment horizontal="center" vertical="center" readingOrder="2"/>
    </xf>
    <xf numFmtId="164" fontId="1" fillId="15" borderId="13" xfId="0" applyNumberFormat="1" applyFont="1" applyFill="1" applyBorder="1" applyAlignment="1">
      <alignment horizontal="center" vertical="center" readingOrder="2"/>
    </xf>
    <xf numFmtId="164" fontId="2" fillId="0" borderId="0" xfId="0" applyNumberFormat="1" applyFont="1" applyAlignment="1">
      <alignment horizontal="right" vertical="center" readingOrder="2"/>
    </xf>
    <xf numFmtId="164" fontId="2" fillId="0" borderId="0" xfId="0" applyNumberFormat="1" applyFont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 readingOrder="2"/>
    </xf>
    <xf numFmtId="0" fontId="13" fillId="0" borderId="13" xfId="0" applyFont="1" applyBorder="1" applyAlignment="1">
      <alignment horizontal="center" vertical="center" readingOrder="2"/>
    </xf>
    <xf numFmtId="164" fontId="1" fillId="17" borderId="16" xfId="0" applyNumberFormat="1" applyFont="1" applyFill="1" applyBorder="1" applyAlignment="1">
      <alignment horizontal="center" vertical="center" readingOrder="2"/>
    </xf>
    <xf numFmtId="164" fontId="1" fillId="9" borderId="16" xfId="0" applyNumberFormat="1" applyFont="1" applyFill="1" applyBorder="1" applyAlignment="1">
      <alignment horizontal="center" vertical="center" readingOrder="2"/>
    </xf>
    <xf numFmtId="164" fontId="1" fillId="3" borderId="16" xfId="0" applyNumberFormat="1" applyFont="1" applyFill="1" applyBorder="1" applyAlignment="1">
      <alignment horizontal="center" vertical="center" readingOrder="2"/>
    </xf>
    <xf numFmtId="0" fontId="14" fillId="0" borderId="0" xfId="0" applyFont="1"/>
    <xf numFmtId="164" fontId="1" fillId="5" borderId="17" xfId="0" applyNumberFormat="1" applyFont="1" applyFill="1" applyBorder="1" applyAlignment="1">
      <alignment horizontal="center" vertical="center" readingOrder="2"/>
    </xf>
    <xf numFmtId="164" fontId="1" fillId="17" borderId="18" xfId="0" applyNumberFormat="1" applyFont="1" applyFill="1" applyBorder="1" applyAlignment="1">
      <alignment horizontal="center" vertical="center" readingOrder="2"/>
    </xf>
    <xf numFmtId="164" fontId="1" fillId="17" borderId="17" xfId="0" applyNumberFormat="1" applyFont="1" applyFill="1" applyBorder="1" applyAlignment="1">
      <alignment horizontal="center" vertical="center" readingOrder="2"/>
    </xf>
    <xf numFmtId="164" fontId="1" fillId="9" borderId="18" xfId="0" applyNumberFormat="1" applyFont="1" applyFill="1" applyBorder="1" applyAlignment="1">
      <alignment horizontal="center" vertical="center" readingOrder="2"/>
    </xf>
    <xf numFmtId="164" fontId="1" fillId="9" borderId="17" xfId="0" applyNumberFormat="1" applyFont="1" applyFill="1" applyBorder="1" applyAlignment="1">
      <alignment horizontal="center" vertical="center" readingOrder="2"/>
    </xf>
    <xf numFmtId="164" fontId="1" fillId="3" borderId="18" xfId="0" applyNumberFormat="1" applyFont="1" applyFill="1" applyBorder="1" applyAlignment="1">
      <alignment horizontal="center" vertical="center" readingOrder="2"/>
    </xf>
    <xf numFmtId="164" fontId="1" fillId="3" borderId="17" xfId="0" applyNumberFormat="1" applyFont="1" applyFill="1" applyBorder="1" applyAlignment="1">
      <alignment horizontal="center" vertical="center" readingOrder="2"/>
    </xf>
    <xf numFmtId="0" fontId="11" fillId="0" borderId="17" xfId="0" applyFont="1" applyBorder="1" applyAlignment="1">
      <alignment horizontal="center" vertical="center" readingOrder="2"/>
    </xf>
    <xf numFmtId="164" fontId="14" fillId="0" borderId="0" xfId="0" applyNumberFormat="1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Z909"/>
  <sheetViews>
    <sheetView showGridLines="0" rightToLeft="1" zoomScaleNormal="100" workbookViewId="0">
      <pane ySplit="1" topLeftCell="A2" activePane="bottomLeft" state="frozen"/>
      <selection pane="bottomLeft" activeCell="K13" sqref="K13"/>
    </sheetView>
  </sheetViews>
  <sheetFormatPr defaultColWidth="11.19921875" defaultRowHeight="15" customHeight="1" x14ac:dyDescent="0.3"/>
  <cols>
    <col min="1" max="1" width="2.5" customWidth="1"/>
    <col min="2" max="2" width="33" customWidth="1"/>
    <col min="3" max="3" width="17.09765625" customWidth="1"/>
    <col min="4" max="4" width="15.8984375" customWidth="1"/>
    <col min="5" max="5" width="16.296875" customWidth="1"/>
    <col min="6" max="6" width="14.796875" bestFit="1" customWidth="1"/>
    <col min="7" max="7" width="16.69921875" customWidth="1"/>
    <col min="8" max="8" width="15.19921875" bestFit="1" customWidth="1"/>
    <col min="9" max="9" width="16.796875" bestFit="1" customWidth="1"/>
    <col min="10" max="10" width="16.69921875" bestFit="1" customWidth="1"/>
    <col min="11" max="11" width="17.796875" customWidth="1"/>
    <col min="12" max="12" width="17.59765625" customWidth="1"/>
    <col min="13" max="13" width="16.5" customWidth="1"/>
    <col min="14" max="14" width="16.69921875" bestFit="1" customWidth="1"/>
    <col min="15" max="15" width="18.09765625" customWidth="1"/>
    <col min="16" max="16" width="19.796875" customWidth="1"/>
    <col min="17" max="17" width="17.3984375" customWidth="1"/>
    <col min="18" max="18" width="15.19921875" bestFit="1" customWidth="1"/>
    <col min="19" max="19" width="17.19921875" bestFit="1" customWidth="1"/>
    <col min="20" max="26" width="8.5" customWidth="1"/>
  </cols>
  <sheetData>
    <row r="1" spans="1:26" ht="15.75" customHeight="1" x14ac:dyDescent="0.3">
      <c r="A1" s="29"/>
      <c r="B1" s="30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"/>
    </row>
    <row r="2" spans="1:26" ht="24" customHeight="1" x14ac:dyDescent="0.3">
      <c r="A2" s="32"/>
      <c r="B2" s="33" t="s">
        <v>35</v>
      </c>
      <c r="C2" s="34" t="s">
        <v>0</v>
      </c>
      <c r="D2" s="34" t="s">
        <v>1</v>
      </c>
      <c r="E2" s="34" t="s">
        <v>2</v>
      </c>
      <c r="F2" s="35" t="s">
        <v>3</v>
      </c>
      <c r="G2" s="36" t="s">
        <v>4</v>
      </c>
      <c r="H2" s="37" t="s">
        <v>5</v>
      </c>
      <c r="I2" s="37" t="s">
        <v>6</v>
      </c>
      <c r="J2" s="38" t="s">
        <v>7</v>
      </c>
      <c r="K2" s="39" t="s">
        <v>8</v>
      </c>
      <c r="L2" s="40" t="s">
        <v>9</v>
      </c>
      <c r="M2" s="40" t="s">
        <v>10</v>
      </c>
      <c r="N2" s="41" t="s">
        <v>11</v>
      </c>
      <c r="O2" s="42" t="s">
        <v>12</v>
      </c>
      <c r="P2" s="43" t="s">
        <v>13</v>
      </c>
      <c r="Q2" s="43" t="s">
        <v>14</v>
      </c>
      <c r="R2" s="44" t="s">
        <v>15</v>
      </c>
      <c r="S2" s="45" t="s">
        <v>16</v>
      </c>
      <c r="T2" s="17"/>
      <c r="U2" s="18"/>
      <c r="V2" s="18"/>
      <c r="W2" s="18"/>
      <c r="X2" s="18"/>
      <c r="Y2" s="18"/>
      <c r="Z2" s="18"/>
    </row>
    <row r="3" spans="1:26" ht="36" customHeight="1" thickBot="1" x14ac:dyDescent="0.35">
      <c r="A3" s="29"/>
      <c r="B3" s="105" t="s">
        <v>40</v>
      </c>
      <c r="C3" s="101">
        <v>0</v>
      </c>
      <c r="D3" s="101">
        <v>0</v>
      </c>
      <c r="E3" s="101">
        <v>29166</v>
      </c>
      <c r="F3" s="47">
        <f>SUM(C3:E3)</f>
        <v>29166</v>
      </c>
      <c r="G3" s="102">
        <v>29166</v>
      </c>
      <c r="H3" s="102">
        <v>529166</v>
      </c>
      <c r="I3" s="102">
        <v>529166</v>
      </c>
      <c r="J3" s="49">
        <f t="shared" ref="J3:J5" si="0">SUM(G3:I3)</f>
        <v>1087498</v>
      </c>
      <c r="K3" s="103">
        <v>643762</v>
      </c>
      <c r="L3" s="103">
        <v>643762</v>
      </c>
      <c r="M3" s="103">
        <v>143762</v>
      </c>
      <c r="N3" s="51">
        <f t="shared" ref="N3:N5" si="1">SUM(K3:M3)</f>
        <v>1431286</v>
      </c>
      <c r="O3" s="104">
        <v>143762</v>
      </c>
      <c r="P3" s="104">
        <v>143762</v>
      </c>
      <c r="Q3" s="104">
        <v>143762</v>
      </c>
      <c r="R3" s="53">
        <f t="shared" ref="R3:R5" si="2">SUM(O3:Q3)</f>
        <v>431286</v>
      </c>
      <c r="S3" s="54">
        <f t="shared" ref="S3:S5" si="3">SUM(F3,J3,N3,R3)</f>
        <v>2979236</v>
      </c>
      <c r="T3" s="3"/>
    </row>
    <row r="4" spans="1:26" ht="36" customHeight="1" thickTop="1" thickBot="1" x14ac:dyDescent="0.35">
      <c r="A4" s="29"/>
      <c r="B4" s="105" t="s">
        <v>41</v>
      </c>
      <c r="C4" s="46">
        <f t="shared" ref="C4:E4" si="4">C45</f>
        <v>139300.5</v>
      </c>
      <c r="D4" s="46">
        <f t="shared" si="4"/>
        <v>139000.5</v>
      </c>
      <c r="E4" s="46">
        <f t="shared" si="4"/>
        <v>145901.5</v>
      </c>
      <c r="F4" s="47">
        <f>SUM(C4:E4)</f>
        <v>424202.5</v>
      </c>
      <c r="G4" s="48">
        <f t="shared" ref="G4:I4" si="5">G45</f>
        <v>147601.5</v>
      </c>
      <c r="H4" s="48">
        <f t="shared" si="5"/>
        <v>147901.5</v>
      </c>
      <c r="I4" s="48">
        <f t="shared" si="5"/>
        <v>179761.5</v>
      </c>
      <c r="J4" s="49">
        <f t="shared" si="0"/>
        <v>475264.5</v>
      </c>
      <c r="K4" s="50">
        <f t="shared" ref="K4:M4" si="6">K45</f>
        <v>147901.5</v>
      </c>
      <c r="L4" s="50">
        <f t="shared" si="6"/>
        <v>171721.5</v>
      </c>
      <c r="M4" s="50">
        <f t="shared" si="6"/>
        <v>147901.5</v>
      </c>
      <c r="N4" s="51">
        <f t="shared" si="1"/>
        <v>467524.5</v>
      </c>
      <c r="O4" s="52">
        <f t="shared" ref="O4:Q4" si="7">O45</f>
        <v>143501.5</v>
      </c>
      <c r="P4" s="52">
        <f t="shared" si="7"/>
        <v>143801.5</v>
      </c>
      <c r="Q4" s="52">
        <f t="shared" si="7"/>
        <v>175661.5</v>
      </c>
      <c r="R4" s="53">
        <f t="shared" si="2"/>
        <v>462964.5</v>
      </c>
      <c r="S4" s="54">
        <f t="shared" si="3"/>
        <v>1829956</v>
      </c>
      <c r="T4" s="3"/>
    </row>
    <row r="5" spans="1:26" ht="36" customHeight="1" x14ac:dyDescent="0.3">
      <c r="A5" s="29"/>
      <c r="B5" s="55" t="s">
        <v>18</v>
      </c>
      <c r="C5" s="56">
        <f t="shared" ref="C5:E5" si="8">C3-C4</f>
        <v>-139300.5</v>
      </c>
      <c r="D5" s="56">
        <f t="shared" si="8"/>
        <v>-139000.5</v>
      </c>
      <c r="E5" s="56">
        <f t="shared" si="8"/>
        <v>-116735.5</v>
      </c>
      <c r="F5" s="57">
        <f>SUM(C5:E5)</f>
        <v>-395036.5</v>
      </c>
      <c r="G5" s="58">
        <f t="shared" ref="G5:I5" si="9">G3-G4</f>
        <v>-118435.5</v>
      </c>
      <c r="H5" s="58">
        <f t="shared" si="9"/>
        <v>381264.5</v>
      </c>
      <c r="I5" s="58">
        <f t="shared" si="9"/>
        <v>349404.5</v>
      </c>
      <c r="J5" s="59">
        <f t="shared" si="0"/>
        <v>612233.5</v>
      </c>
      <c r="K5" s="60">
        <f t="shared" ref="K5:M5" si="10">K3-K4</f>
        <v>495860.5</v>
      </c>
      <c r="L5" s="60">
        <f t="shared" si="10"/>
        <v>472040.5</v>
      </c>
      <c r="M5" s="60">
        <f t="shared" si="10"/>
        <v>-4139.5</v>
      </c>
      <c r="N5" s="61">
        <f t="shared" si="1"/>
        <v>963761.5</v>
      </c>
      <c r="O5" s="62">
        <f t="shared" ref="O5:Q5" si="11">O3-O4</f>
        <v>260.5</v>
      </c>
      <c r="P5" s="62">
        <f t="shared" si="11"/>
        <v>-39.5</v>
      </c>
      <c r="Q5" s="62">
        <f t="shared" si="11"/>
        <v>-31899.5</v>
      </c>
      <c r="R5" s="63">
        <f t="shared" si="2"/>
        <v>-31678.5</v>
      </c>
      <c r="S5" s="64">
        <f t="shared" si="3"/>
        <v>1149280</v>
      </c>
      <c r="T5" s="3"/>
    </row>
    <row r="6" spans="1:26" ht="36" customHeight="1" x14ac:dyDescent="0.3">
      <c r="A6" s="29"/>
      <c r="B6" s="65" t="s">
        <v>19</v>
      </c>
      <c r="C6" s="66">
        <f>C5</f>
        <v>-139300.5</v>
      </c>
      <c r="D6" s="66">
        <f t="shared" ref="D6:E6" si="12">C6+D5</f>
        <v>-278301</v>
      </c>
      <c r="E6" s="66">
        <f t="shared" si="12"/>
        <v>-395036.5</v>
      </c>
      <c r="F6" s="67"/>
      <c r="G6" s="68">
        <f>E6+G5</f>
        <v>-513472</v>
      </c>
      <c r="H6" s="68">
        <f t="shared" ref="H6:I6" si="13">G6+H5</f>
        <v>-132207.5</v>
      </c>
      <c r="I6" s="68">
        <f t="shared" si="13"/>
        <v>217197</v>
      </c>
      <c r="J6" s="67"/>
      <c r="K6" s="69">
        <f>I6+K5</f>
        <v>713057.5</v>
      </c>
      <c r="L6" s="69">
        <f t="shared" ref="L6:M6" si="14">K6+L5</f>
        <v>1185098</v>
      </c>
      <c r="M6" s="69">
        <f t="shared" si="14"/>
        <v>1180958.5</v>
      </c>
      <c r="N6" s="67"/>
      <c r="O6" s="70">
        <f>M6+O5</f>
        <v>1181219</v>
      </c>
      <c r="P6" s="70">
        <f t="shared" ref="P6:Q6" si="15">O6+P5</f>
        <v>1181179.5</v>
      </c>
      <c r="Q6" s="70">
        <f t="shared" si="15"/>
        <v>1149280</v>
      </c>
      <c r="R6" s="67"/>
      <c r="S6" s="29"/>
      <c r="T6" s="3"/>
    </row>
    <row r="7" spans="1:26" ht="15.6" x14ac:dyDescent="0.3">
      <c r="A7" s="29"/>
      <c r="B7" s="30"/>
      <c r="C7" s="31"/>
      <c r="D7" s="31"/>
      <c r="E7" s="31"/>
      <c r="F7" s="31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"/>
    </row>
    <row r="8" spans="1:26" ht="15.6" x14ac:dyDescent="0.3">
      <c r="A8" s="29"/>
      <c r="B8" s="30"/>
      <c r="C8" s="31"/>
      <c r="D8" s="31"/>
      <c r="E8" s="31"/>
      <c r="F8" s="3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"/>
    </row>
    <row r="9" spans="1:26" ht="24" customHeight="1" x14ac:dyDescent="0.3">
      <c r="A9" s="32"/>
      <c r="B9" s="33" t="s">
        <v>20</v>
      </c>
      <c r="C9" s="34" t="s">
        <v>0</v>
      </c>
      <c r="D9" s="34" t="s">
        <v>1</v>
      </c>
      <c r="E9" s="34" t="s">
        <v>2</v>
      </c>
      <c r="F9" s="35" t="s">
        <v>3</v>
      </c>
      <c r="G9" s="36" t="s">
        <v>4</v>
      </c>
      <c r="H9" s="37" t="s">
        <v>5</v>
      </c>
      <c r="I9" s="37" t="s">
        <v>6</v>
      </c>
      <c r="J9" s="38" t="s">
        <v>7</v>
      </c>
      <c r="K9" s="39" t="s">
        <v>8</v>
      </c>
      <c r="L9" s="40" t="s">
        <v>9</v>
      </c>
      <c r="M9" s="40" t="s">
        <v>10</v>
      </c>
      <c r="N9" s="41" t="s">
        <v>11</v>
      </c>
      <c r="O9" s="42" t="s">
        <v>12</v>
      </c>
      <c r="P9" s="43" t="s">
        <v>13</v>
      </c>
      <c r="Q9" s="43" t="s">
        <v>14</v>
      </c>
      <c r="R9" s="71" t="s">
        <v>15</v>
      </c>
      <c r="S9" s="45" t="s">
        <v>16</v>
      </c>
      <c r="T9" s="17"/>
      <c r="U9" s="18"/>
      <c r="V9" s="18"/>
      <c r="W9" s="18"/>
      <c r="X9" s="18"/>
      <c r="Y9" s="18"/>
      <c r="Z9" s="18"/>
    </row>
    <row r="10" spans="1:26" ht="18" customHeight="1" x14ac:dyDescent="0.3">
      <c r="A10" s="29"/>
      <c r="B10" s="72" t="s">
        <v>21</v>
      </c>
      <c r="C10" s="73"/>
      <c r="D10" s="73"/>
      <c r="E10" s="73"/>
      <c r="F10" s="74"/>
      <c r="G10" s="75"/>
      <c r="H10" s="73"/>
      <c r="I10" s="73"/>
      <c r="J10" s="74"/>
      <c r="K10" s="75"/>
      <c r="L10" s="73"/>
      <c r="M10" s="73"/>
      <c r="N10" s="74"/>
      <c r="O10" s="75"/>
      <c r="P10" s="73"/>
      <c r="Q10" s="73"/>
      <c r="R10" s="74"/>
      <c r="S10" s="75"/>
      <c r="T10" s="3"/>
    </row>
    <row r="11" spans="1:26" ht="18" customHeight="1" x14ac:dyDescent="0.3">
      <c r="A11" s="29"/>
      <c r="B11" s="76" t="s">
        <v>39</v>
      </c>
      <c r="C11" s="77"/>
      <c r="D11" s="77"/>
      <c r="E11" s="77"/>
      <c r="F11" s="78">
        <f t="shared" ref="F11:F14" si="16">SUM(C11:E11)</f>
        <v>0</v>
      </c>
      <c r="G11" s="79"/>
      <c r="H11" s="79">
        <v>500000</v>
      </c>
      <c r="I11" s="79">
        <v>500000</v>
      </c>
      <c r="J11" s="80">
        <f t="shared" ref="J11:J14" si="17">SUM(G11:I11)</f>
        <v>1000000</v>
      </c>
      <c r="K11" s="79">
        <v>500000</v>
      </c>
      <c r="L11" s="79">
        <v>500000</v>
      </c>
      <c r="M11" s="81"/>
      <c r="N11" s="82">
        <f t="shared" ref="N11:N14" si="18">SUM(K11:M11)</f>
        <v>1000000</v>
      </c>
      <c r="O11" s="83"/>
      <c r="P11" s="84"/>
      <c r="Q11" s="84"/>
      <c r="R11" s="85">
        <f t="shared" ref="R11:R14" si="19">SUM(O11:Q11)</f>
        <v>0</v>
      </c>
      <c r="S11" s="86">
        <f t="shared" ref="S11:S15" si="20">SUM(F11,J11,N11,R11)</f>
        <v>2000000</v>
      </c>
      <c r="T11" s="3"/>
    </row>
    <row r="12" spans="1:26" ht="18" customHeight="1" x14ac:dyDescent="0.3">
      <c r="A12" s="29"/>
      <c r="B12" s="76" t="s">
        <v>36</v>
      </c>
      <c r="C12" s="77"/>
      <c r="D12" s="77"/>
      <c r="E12" s="77">
        <v>29166</v>
      </c>
      <c r="F12" s="78">
        <f t="shared" si="16"/>
        <v>29166</v>
      </c>
      <c r="G12" s="77">
        <v>29166</v>
      </c>
      <c r="H12" s="77">
        <v>29166</v>
      </c>
      <c r="I12" s="77">
        <v>29166</v>
      </c>
      <c r="J12" s="80">
        <f t="shared" si="17"/>
        <v>87498</v>
      </c>
      <c r="K12" s="77">
        <v>29166</v>
      </c>
      <c r="L12" s="77">
        <v>29166</v>
      </c>
      <c r="M12" s="77">
        <v>29166</v>
      </c>
      <c r="N12" s="82">
        <f t="shared" si="18"/>
        <v>87498</v>
      </c>
      <c r="O12" s="77">
        <v>29166</v>
      </c>
      <c r="P12" s="77">
        <v>29166</v>
      </c>
      <c r="Q12" s="77">
        <v>29166</v>
      </c>
      <c r="R12" s="85">
        <f t="shared" si="19"/>
        <v>87498</v>
      </c>
      <c r="S12" s="86">
        <f t="shared" si="20"/>
        <v>291660</v>
      </c>
      <c r="T12" s="3"/>
    </row>
    <row r="13" spans="1:26" ht="18" customHeight="1" x14ac:dyDescent="0.3">
      <c r="A13" s="29"/>
      <c r="B13" s="76" t="s">
        <v>38</v>
      </c>
      <c r="C13" s="77"/>
      <c r="D13" s="77"/>
      <c r="E13" s="77"/>
      <c r="F13" s="78"/>
      <c r="G13" s="100"/>
      <c r="H13" s="77"/>
      <c r="I13" s="77"/>
      <c r="J13" s="80"/>
      <c r="K13" s="100">
        <v>59800</v>
      </c>
      <c r="L13" s="100">
        <v>59800</v>
      </c>
      <c r="M13" s="100">
        <v>59800</v>
      </c>
      <c r="N13" s="82"/>
      <c r="O13" s="100">
        <v>59800</v>
      </c>
      <c r="P13" s="77">
        <v>59800</v>
      </c>
      <c r="Q13" s="77">
        <v>59800</v>
      </c>
      <c r="R13" s="85">
        <f t="shared" si="19"/>
        <v>179400</v>
      </c>
      <c r="S13" s="86">
        <f t="shared" si="20"/>
        <v>179400</v>
      </c>
      <c r="T13" s="3"/>
    </row>
    <row r="14" spans="1:26" ht="18" customHeight="1" x14ac:dyDescent="0.3">
      <c r="A14" s="29"/>
      <c r="B14" s="76" t="s">
        <v>37</v>
      </c>
      <c r="C14" s="77"/>
      <c r="D14" s="77"/>
      <c r="E14" s="77"/>
      <c r="F14" s="78">
        <f t="shared" si="16"/>
        <v>0</v>
      </c>
      <c r="G14" s="79"/>
      <c r="H14" s="87"/>
      <c r="I14" s="87"/>
      <c r="J14" s="80">
        <f t="shared" si="17"/>
        <v>0</v>
      </c>
      <c r="K14" s="81">
        <v>54796</v>
      </c>
      <c r="L14" s="88">
        <v>54796</v>
      </c>
      <c r="M14" s="88">
        <v>54796</v>
      </c>
      <c r="N14" s="82">
        <f t="shared" si="18"/>
        <v>164388</v>
      </c>
      <c r="O14" s="83">
        <v>54796</v>
      </c>
      <c r="P14" s="84">
        <v>54796</v>
      </c>
      <c r="Q14" s="84">
        <v>54796</v>
      </c>
      <c r="R14" s="85">
        <f t="shared" si="19"/>
        <v>164388</v>
      </c>
      <c r="S14" s="86">
        <f t="shared" si="20"/>
        <v>328776</v>
      </c>
      <c r="T14" s="3"/>
    </row>
    <row r="15" spans="1:26" ht="21.75" customHeight="1" thickBot="1" x14ac:dyDescent="0.35">
      <c r="A15" s="29"/>
      <c r="B15" s="89" t="s">
        <v>22</v>
      </c>
      <c r="C15" s="90">
        <f t="shared" ref="C15:R15" si="21">SUM(C11:C14)</f>
        <v>0</v>
      </c>
      <c r="D15" s="90">
        <f t="shared" si="21"/>
        <v>0</v>
      </c>
      <c r="E15" s="90">
        <f t="shared" si="21"/>
        <v>29166</v>
      </c>
      <c r="F15" s="91">
        <f t="shared" si="21"/>
        <v>29166</v>
      </c>
      <c r="G15" s="90">
        <f t="shared" si="21"/>
        <v>29166</v>
      </c>
      <c r="H15" s="90">
        <f t="shared" si="21"/>
        <v>529166</v>
      </c>
      <c r="I15" s="90">
        <f t="shared" si="21"/>
        <v>529166</v>
      </c>
      <c r="J15" s="92">
        <f t="shared" si="21"/>
        <v>1087498</v>
      </c>
      <c r="K15" s="90">
        <f t="shared" si="21"/>
        <v>643762</v>
      </c>
      <c r="L15" s="90">
        <f t="shared" si="21"/>
        <v>643762</v>
      </c>
      <c r="M15" s="90">
        <f t="shared" si="21"/>
        <v>143762</v>
      </c>
      <c r="N15" s="92">
        <f t="shared" si="21"/>
        <v>1251886</v>
      </c>
      <c r="O15" s="90">
        <f t="shared" si="21"/>
        <v>143762</v>
      </c>
      <c r="P15" s="90">
        <f t="shared" si="21"/>
        <v>143762</v>
      </c>
      <c r="Q15" s="90">
        <f t="shared" si="21"/>
        <v>143762</v>
      </c>
      <c r="R15" s="92">
        <f t="shared" si="21"/>
        <v>431286</v>
      </c>
      <c r="S15" s="93">
        <f t="shared" si="20"/>
        <v>2799836</v>
      </c>
      <c r="T15" s="3"/>
    </row>
    <row r="16" spans="1:26" ht="15.6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"/>
    </row>
    <row r="17" spans="1:26" ht="24" customHeight="1" x14ac:dyDescent="0.3">
      <c r="A17" s="4"/>
      <c r="B17" s="5" t="s">
        <v>23</v>
      </c>
      <c r="C17" s="6" t="s">
        <v>0</v>
      </c>
      <c r="D17" s="6" t="s">
        <v>1</v>
      </c>
      <c r="E17" s="6" t="s">
        <v>2</v>
      </c>
      <c r="F17" s="7" t="s">
        <v>3</v>
      </c>
      <c r="G17" s="8" t="s">
        <v>4</v>
      </c>
      <c r="H17" s="9" t="s">
        <v>5</v>
      </c>
      <c r="I17" s="9" t="s">
        <v>6</v>
      </c>
      <c r="J17" s="10" t="s">
        <v>7</v>
      </c>
      <c r="K17" s="11" t="s">
        <v>8</v>
      </c>
      <c r="L17" s="12" t="s">
        <v>9</v>
      </c>
      <c r="M17" s="12" t="s">
        <v>10</v>
      </c>
      <c r="N17" s="13" t="s">
        <v>11</v>
      </c>
      <c r="O17" s="14" t="s">
        <v>12</v>
      </c>
      <c r="P17" s="15" t="s">
        <v>13</v>
      </c>
      <c r="Q17" s="15" t="s">
        <v>14</v>
      </c>
      <c r="R17" s="19" t="s">
        <v>15</v>
      </c>
      <c r="S17" s="16" t="s">
        <v>16</v>
      </c>
      <c r="T17" s="17"/>
      <c r="U17" s="18"/>
      <c r="V17" s="18"/>
      <c r="W17" s="18"/>
      <c r="X17" s="18"/>
      <c r="Y17" s="18"/>
      <c r="Z17" s="18"/>
    </row>
    <row r="18" spans="1:26" ht="18" customHeight="1" x14ac:dyDescent="0.3">
      <c r="A18" s="1"/>
      <c r="B18" s="20" t="s">
        <v>24</v>
      </c>
      <c r="C18" s="21"/>
      <c r="D18" s="21"/>
      <c r="E18" s="21"/>
      <c r="F18" s="22"/>
      <c r="G18" s="23"/>
      <c r="H18" s="21"/>
      <c r="I18" s="21"/>
      <c r="J18" s="22"/>
      <c r="K18" s="23"/>
      <c r="L18" s="21"/>
      <c r="M18" s="21"/>
      <c r="N18" s="22"/>
      <c r="O18" s="23"/>
      <c r="P18" s="21"/>
      <c r="Q18" s="21"/>
      <c r="R18" s="22"/>
      <c r="S18" s="23"/>
      <c r="T18" s="3"/>
    </row>
    <row r="19" spans="1:26" s="108" customFormat="1" ht="18" customHeight="1" x14ac:dyDescent="0.3">
      <c r="A19" s="1"/>
      <c r="B19" s="106" t="s">
        <v>42</v>
      </c>
      <c r="C19" s="77">
        <v>150</v>
      </c>
      <c r="D19" s="77">
        <v>150</v>
      </c>
      <c r="E19" s="77">
        <v>150</v>
      </c>
      <c r="F19" s="78">
        <f t="shared" ref="F19:F26" si="22">SUM(C19:E19)</f>
        <v>450</v>
      </c>
      <c r="G19" s="79">
        <v>150</v>
      </c>
      <c r="H19" s="87">
        <v>150</v>
      </c>
      <c r="I19" s="87">
        <v>150</v>
      </c>
      <c r="J19" s="80">
        <f t="shared" ref="J19:J26" si="23">SUM(G19:I19)</f>
        <v>450</v>
      </c>
      <c r="K19" s="81">
        <v>150</v>
      </c>
      <c r="L19" s="88">
        <v>150</v>
      </c>
      <c r="M19" s="88">
        <v>150</v>
      </c>
      <c r="N19" s="82">
        <f t="shared" ref="N19:N26" si="24">SUM(K19:M19)</f>
        <v>450</v>
      </c>
      <c r="O19" s="83">
        <v>150</v>
      </c>
      <c r="P19" s="84">
        <v>150</v>
      </c>
      <c r="Q19" s="84">
        <v>150</v>
      </c>
      <c r="R19" s="85">
        <f t="shared" ref="R19:R26" si="25">SUM(O19:Q19)</f>
        <v>450</v>
      </c>
      <c r="S19" s="86">
        <f t="shared" ref="S19:S26" si="26">SUM(F19,J19,N19,R19)</f>
        <v>1800</v>
      </c>
      <c r="T19" s="107"/>
    </row>
    <row r="20" spans="1:26" s="108" customFormat="1" ht="18" customHeight="1" x14ac:dyDescent="0.3">
      <c r="A20" s="1"/>
      <c r="B20" s="106" t="s">
        <v>52</v>
      </c>
      <c r="C20" s="77"/>
      <c r="D20" s="77"/>
      <c r="E20" s="77">
        <v>9701</v>
      </c>
      <c r="F20" s="78">
        <f t="shared" si="22"/>
        <v>9701</v>
      </c>
      <c r="G20" s="120">
        <v>9701</v>
      </c>
      <c r="H20" s="87">
        <v>9701</v>
      </c>
      <c r="I20" s="87">
        <v>9701</v>
      </c>
      <c r="J20" s="80">
        <f t="shared" si="23"/>
        <v>29103</v>
      </c>
      <c r="K20" s="121">
        <v>9701</v>
      </c>
      <c r="L20" s="88">
        <v>9701</v>
      </c>
      <c r="M20" s="88">
        <v>9701</v>
      </c>
      <c r="N20" s="82">
        <f t="shared" si="24"/>
        <v>29103</v>
      </c>
      <c r="O20" s="122">
        <v>9701</v>
      </c>
      <c r="P20" s="84">
        <v>9701</v>
      </c>
      <c r="Q20" s="84">
        <v>9701</v>
      </c>
      <c r="R20" s="85">
        <f t="shared" si="25"/>
        <v>29103</v>
      </c>
      <c r="S20" s="86">
        <f t="shared" si="26"/>
        <v>97010</v>
      </c>
      <c r="T20" s="107"/>
    </row>
    <row r="21" spans="1:26" s="108" customFormat="1" ht="18" customHeight="1" x14ac:dyDescent="0.3">
      <c r="A21" s="1"/>
      <c r="B21" s="106" t="s">
        <v>53</v>
      </c>
      <c r="C21" s="77"/>
      <c r="D21" s="77"/>
      <c r="E21" s="77"/>
      <c r="F21" s="78">
        <f t="shared" si="22"/>
        <v>0</v>
      </c>
      <c r="G21" s="120"/>
      <c r="H21" s="87"/>
      <c r="I21" s="87">
        <v>32160</v>
      </c>
      <c r="J21" s="80">
        <f t="shared" si="23"/>
        <v>32160</v>
      </c>
      <c r="K21" s="121"/>
      <c r="L21" s="88">
        <v>24120</v>
      </c>
      <c r="M21" s="88"/>
      <c r="N21" s="82">
        <f t="shared" si="24"/>
        <v>24120</v>
      </c>
      <c r="O21" s="122"/>
      <c r="P21" s="84"/>
      <c r="Q21" s="84">
        <v>32160</v>
      </c>
      <c r="R21" s="85">
        <f t="shared" si="25"/>
        <v>32160</v>
      </c>
      <c r="S21" s="86">
        <f t="shared" si="26"/>
        <v>88440</v>
      </c>
      <c r="T21" s="107"/>
    </row>
    <row r="22" spans="1:26" s="108" customFormat="1" ht="18" customHeight="1" x14ac:dyDescent="0.3">
      <c r="A22" s="1"/>
      <c r="B22" s="106" t="s">
        <v>43</v>
      </c>
      <c r="C22" s="77">
        <v>0</v>
      </c>
      <c r="D22" s="77">
        <v>0</v>
      </c>
      <c r="E22" s="77">
        <v>0</v>
      </c>
      <c r="F22" s="78">
        <f t="shared" si="22"/>
        <v>0</v>
      </c>
      <c r="G22" s="79">
        <v>1000</v>
      </c>
      <c r="H22" s="87">
        <v>1000</v>
      </c>
      <c r="I22" s="87">
        <v>1000</v>
      </c>
      <c r="J22" s="80">
        <f t="shared" si="23"/>
        <v>3000</v>
      </c>
      <c r="K22" s="81">
        <v>1000</v>
      </c>
      <c r="L22" s="88">
        <v>1000</v>
      </c>
      <c r="M22" s="88">
        <v>1000</v>
      </c>
      <c r="N22" s="82">
        <f t="shared" si="24"/>
        <v>3000</v>
      </c>
      <c r="O22" s="83">
        <v>0</v>
      </c>
      <c r="P22" s="84">
        <v>0</v>
      </c>
      <c r="Q22" s="84">
        <v>0</v>
      </c>
      <c r="R22" s="85">
        <f t="shared" si="25"/>
        <v>0</v>
      </c>
      <c r="S22" s="86">
        <f t="shared" si="26"/>
        <v>6000</v>
      </c>
      <c r="T22" s="107"/>
    </row>
    <row r="23" spans="1:26" s="108" customFormat="1" ht="18" customHeight="1" x14ac:dyDescent="0.3">
      <c r="A23" s="1"/>
      <c r="B23" s="24" t="s">
        <v>25</v>
      </c>
      <c r="C23" s="77">
        <v>100</v>
      </c>
      <c r="D23" s="77">
        <v>0</v>
      </c>
      <c r="E23" s="77">
        <v>100</v>
      </c>
      <c r="F23" s="78">
        <f t="shared" si="22"/>
        <v>200</v>
      </c>
      <c r="G23" s="79">
        <v>0</v>
      </c>
      <c r="H23" s="87">
        <v>100</v>
      </c>
      <c r="I23" s="87">
        <v>0</v>
      </c>
      <c r="J23" s="80">
        <f t="shared" si="23"/>
        <v>100</v>
      </c>
      <c r="K23" s="81">
        <v>100</v>
      </c>
      <c r="L23" s="88">
        <v>0</v>
      </c>
      <c r="M23" s="88">
        <v>100</v>
      </c>
      <c r="N23" s="82">
        <f t="shared" si="24"/>
        <v>200</v>
      </c>
      <c r="O23" s="83">
        <v>0</v>
      </c>
      <c r="P23" s="84">
        <v>100</v>
      </c>
      <c r="Q23" s="84">
        <v>0</v>
      </c>
      <c r="R23" s="85">
        <f t="shared" si="25"/>
        <v>100</v>
      </c>
      <c r="S23" s="86">
        <f t="shared" si="26"/>
        <v>600</v>
      </c>
      <c r="T23" s="107"/>
    </row>
    <row r="24" spans="1:26" s="108" customFormat="1" ht="18" customHeight="1" x14ac:dyDescent="0.3">
      <c r="A24" s="1"/>
      <c r="B24" s="106" t="s">
        <v>45</v>
      </c>
      <c r="C24" s="77">
        <v>200</v>
      </c>
      <c r="D24" s="77">
        <v>0</v>
      </c>
      <c r="E24" s="77">
        <v>200</v>
      </c>
      <c r="F24" s="78">
        <f t="shared" si="22"/>
        <v>400</v>
      </c>
      <c r="G24" s="79">
        <v>0</v>
      </c>
      <c r="H24" s="87">
        <v>200</v>
      </c>
      <c r="I24" s="87">
        <v>0</v>
      </c>
      <c r="J24" s="80">
        <f t="shared" si="23"/>
        <v>200</v>
      </c>
      <c r="K24" s="81">
        <v>200</v>
      </c>
      <c r="L24" s="88">
        <v>0</v>
      </c>
      <c r="M24" s="88">
        <v>200</v>
      </c>
      <c r="N24" s="82">
        <f t="shared" si="24"/>
        <v>400</v>
      </c>
      <c r="O24" s="83">
        <v>0</v>
      </c>
      <c r="P24" s="84">
        <v>200</v>
      </c>
      <c r="Q24" s="84">
        <v>0</v>
      </c>
      <c r="R24" s="85">
        <f t="shared" si="25"/>
        <v>200</v>
      </c>
      <c r="S24" s="86">
        <f t="shared" si="26"/>
        <v>1200</v>
      </c>
      <c r="T24" s="107"/>
    </row>
    <row r="25" spans="1:26" s="108" customFormat="1" ht="18" customHeight="1" x14ac:dyDescent="0.3">
      <c r="A25" s="1"/>
      <c r="B25" s="106" t="s">
        <v>46</v>
      </c>
      <c r="C25" s="77">
        <v>150</v>
      </c>
      <c r="D25" s="77">
        <v>150</v>
      </c>
      <c r="E25" s="77">
        <v>150</v>
      </c>
      <c r="F25" s="78">
        <f t="shared" si="22"/>
        <v>450</v>
      </c>
      <c r="G25" s="79">
        <v>150</v>
      </c>
      <c r="H25" s="87">
        <v>150</v>
      </c>
      <c r="I25" s="87">
        <v>150</v>
      </c>
      <c r="J25" s="80">
        <f t="shared" si="23"/>
        <v>450</v>
      </c>
      <c r="K25" s="81">
        <v>150</v>
      </c>
      <c r="L25" s="88">
        <v>150</v>
      </c>
      <c r="M25" s="88">
        <v>150</v>
      </c>
      <c r="N25" s="82">
        <f t="shared" si="24"/>
        <v>450</v>
      </c>
      <c r="O25" s="83">
        <v>150</v>
      </c>
      <c r="P25" s="84">
        <v>150</v>
      </c>
      <c r="Q25" s="84">
        <v>150</v>
      </c>
      <c r="R25" s="85">
        <f t="shared" si="25"/>
        <v>450</v>
      </c>
      <c r="S25" s="86">
        <f t="shared" si="26"/>
        <v>1800</v>
      </c>
      <c r="T25" s="107"/>
    </row>
    <row r="26" spans="1:26" s="108" customFormat="1" ht="21.75" customHeight="1" thickBot="1" x14ac:dyDescent="0.35">
      <c r="A26" s="1"/>
      <c r="B26" s="25" t="s">
        <v>26</v>
      </c>
      <c r="C26" s="109">
        <f>SUM(C19:C25)</f>
        <v>600</v>
      </c>
      <c r="D26" s="109">
        <f>SUM(D19:D25)</f>
        <v>300</v>
      </c>
      <c r="E26" s="109">
        <f>SUM(E19:E25)</f>
        <v>10301</v>
      </c>
      <c r="F26" s="78">
        <f t="shared" si="22"/>
        <v>11201</v>
      </c>
      <c r="G26" s="110">
        <f>SUM(G19:G25)</f>
        <v>11001</v>
      </c>
      <c r="H26" s="111">
        <f>SUM(H19:H25)</f>
        <v>11301</v>
      </c>
      <c r="I26" s="111">
        <f>SUM(I19:I25)</f>
        <v>43161</v>
      </c>
      <c r="J26" s="80">
        <f t="shared" si="23"/>
        <v>65463</v>
      </c>
      <c r="K26" s="112">
        <f>SUM(K19:K25)</f>
        <v>11301</v>
      </c>
      <c r="L26" s="113">
        <f>SUM(L19:L25)</f>
        <v>35121</v>
      </c>
      <c r="M26" s="113">
        <f>SUM(M19:M25)</f>
        <v>11301</v>
      </c>
      <c r="N26" s="82">
        <f t="shared" si="24"/>
        <v>57723</v>
      </c>
      <c r="O26" s="114">
        <f>SUM(O19:O25)</f>
        <v>10001</v>
      </c>
      <c r="P26" s="115">
        <f>SUM(P19:P25)</f>
        <v>10301</v>
      </c>
      <c r="Q26" s="115">
        <f>SUM(Q19:Q25)</f>
        <v>42161</v>
      </c>
      <c r="R26" s="85">
        <f t="shared" si="25"/>
        <v>62463</v>
      </c>
      <c r="S26" s="93">
        <f t="shared" si="26"/>
        <v>196850</v>
      </c>
      <c r="T26" s="107"/>
    </row>
    <row r="27" spans="1:26" s="108" customFormat="1" ht="18" customHeight="1" x14ac:dyDescent="0.3">
      <c r="A27" s="1"/>
      <c r="B27" s="20" t="s">
        <v>27</v>
      </c>
      <c r="C27" s="73"/>
      <c r="D27" s="73"/>
      <c r="E27" s="73"/>
      <c r="F27" s="74"/>
      <c r="G27" s="75"/>
      <c r="H27" s="73"/>
      <c r="I27" s="73"/>
      <c r="J27" s="74"/>
      <c r="K27" s="75"/>
      <c r="L27" s="73"/>
      <c r="M27" s="73"/>
      <c r="N27" s="74"/>
      <c r="O27" s="75"/>
      <c r="P27" s="73"/>
      <c r="Q27" s="73"/>
      <c r="R27" s="74"/>
      <c r="S27" s="75"/>
      <c r="T27" s="107"/>
    </row>
    <row r="28" spans="1:26" s="108" customFormat="1" ht="18" customHeight="1" x14ac:dyDescent="0.3">
      <c r="A28" s="1"/>
      <c r="B28" s="106" t="s">
        <v>44</v>
      </c>
      <c r="C28" s="77">
        <v>6200</v>
      </c>
      <c r="D28" s="77">
        <v>6200</v>
      </c>
      <c r="E28" s="77">
        <v>3100</v>
      </c>
      <c r="F28" s="78">
        <f t="shared" ref="F28:F33" si="27">SUM(C28:E28)</f>
        <v>15500</v>
      </c>
      <c r="G28" s="79">
        <v>3100</v>
      </c>
      <c r="H28" s="87">
        <v>3100</v>
      </c>
      <c r="I28" s="87">
        <v>3100</v>
      </c>
      <c r="J28" s="80">
        <f t="shared" ref="J28:J33" si="28">SUM(G28:I28)</f>
        <v>9300</v>
      </c>
      <c r="K28" s="81">
        <v>3100</v>
      </c>
      <c r="L28" s="88">
        <v>3100</v>
      </c>
      <c r="M28" s="88">
        <v>3100</v>
      </c>
      <c r="N28" s="82">
        <f t="shared" ref="N28:N33" si="29">SUM(K28:M28)</f>
        <v>9300</v>
      </c>
      <c r="O28" s="83">
        <v>0</v>
      </c>
      <c r="P28" s="84">
        <v>0</v>
      </c>
      <c r="Q28" s="84">
        <v>0</v>
      </c>
      <c r="R28" s="85">
        <f t="shared" ref="R28:R33" si="30">SUM(O28:Q28)</f>
        <v>0</v>
      </c>
      <c r="S28" s="86">
        <f t="shared" ref="S28:S33" si="31">SUM(F28,J28,N28,R28)</f>
        <v>34100</v>
      </c>
      <c r="T28" s="107"/>
    </row>
    <row r="29" spans="1:26" s="108" customFormat="1" ht="18" customHeight="1" x14ac:dyDescent="0.3">
      <c r="A29" s="1"/>
      <c r="B29" s="106" t="s">
        <v>47</v>
      </c>
      <c r="C29" s="77">
        <v>684</v>
      </c>
      <c r="D29" s="77">
        <v>684</v>
      </c>
      <c r="E29" s="77">
        <v>684</v>
      </c>
      <c r="F29" s="78">
        <f t="shared" si="27"/>
        <v>2052</v>
      </c>
      <c r="G29" s="79">
        <v>684</v>
      </c>
      <c r="H29" s="87">
        <v>684</v>
      </c>
      <c r="I29" s="87">
        <v>684</v>
      </c>
      <c r="J29" s="80">
        <f t="shared" si="28"/>
        <v>2052</v>
      </c>
      <c r="K29" s="81">
        <v>684</v>
      </c>
      <c r="L29" s="88">
        <v>684</v>
      </c>
      <c r="M29" s="88">
        <v>684</v>
      </c>
      <c r="N29" s="82">
        <f t="shared" si="29"/>
        <v>2052</v>
      </c>
      <c r="O29" s="83">
        <v>684</v>
      </c>
      <c r="P29" s="84">
        <v>684</v>
      </c>
      <c r="Q29" s="84">
        <v>684</v>
      </c>
      <c r="R29" s="85">
        <f t="shared" si="30"/>
        <v>2052</v>
      </c>
      <c r="S29" s="86">
        <f t="shared" si="31"/>
        <v>8208</v>
      </c>
      <c r="T29" s="107"/>
    </row>
    <row r="30" spans="1:26" s="108" customFormat="1" ht="18" customHeight="1" x14ac:dyDescent="0.3">
      <c r="A30" s="1"/>
      <c r="B30" s="106" t="s">
        <v>48</v>
      </c>
      <c r="C30" s="77">
        <v>264.5</v>
      </c>
      <c r="D30" s="77">
        <v>264.5</v>
      </c>
      <c r="E30" s="77">
        <v>264.5</v>
      </c>
      <c r="F30" s="78">
        <f t="shared" si="27"/>
        <v>793.5</v>
      </c>
      <c r="G30" s="79">
        <v>264.5</v>
      </c>
      <c r="H30" s="87">
        <v>264.5</v>
      </c>
      <c r="I30" s="87">
        <v>264.5</v>
      </c>
      <c r="J30" s="80">
        <f t="shared" si="28"/>
        <v>793.5</v>
      </c>
      <c r="K30" s="81">
        <v>264.5</v>
      </c>
      <c r="L30" s="88">
        <v>264.5</v>
      </c>
      <c r="M30" s="88">
        <v>264.5</v>
      </c>
      <c r="N30" s="82">
        <f t="shared" si="29"/>
        <v>793.5</v>
      </c>
      <c r="O30" s="83">
        <v>264.5</v>
      </c>
      <c r="P30" s="84">
        <v>264.5</v>
      </c>
      <c r="Q30" s="84">
        <v>264.5</v>
      </c>
      <c r="R30" s="85">
        <f t="shared" si="30"/>
        <v>793.5</v>
      </c>
      <c r="S30" s="86">
        <f t="shared" si="31"/>
        <v>3174</v>
      </c>
      <c r="T30" s="107"/>
    </row>
    <row r="31" spans="1:26" s="108" customFormat="1" ht="18" customHeight="1" x14ac:dyDescent="0.3">
      <c r="A31" s="1"/>
      <c r="B31" s="106" t="s">
        <v>49</v>
      </c>
      <c r="C31" s="77">
        <v>12500</v>
      </c>
      <c r="D31" s="77">
        <v>12500</v>
      </c>
      <c r="E31" s="77">
        <v>12500</v>
      </c>
      <c r="F31" s="78">
        <f t="shared" si="27"/>
        <v>37500</v>
      </c>
      <c r="G31" s="79">
        <v>12500</v>
      </c>
      <c r="H31" s="87">
        <v>12500</v>
      </c>
      <c r="I31" s="87">
        <v>12500</v>
      </c>
      <c r="J31" s="80">
        <f t="shared" si="28"/>
        <v>37500</v>
      </c>
      <c r="K31" s="81">
        <v>12500</v>
      </c>
      <c r="L31" s="88">
        <v>12500</v>
      </c>
      <c r="M31" s="88">
        <v>12500</v>
      </c>
      <c r="N31" s="82">
        <f t="shared" si="29"/>
        <v>37500</v>
      </c>
      <c r="O31" s="83">
        <v>12500</v>
      </c>
      <c r="P31" s="84">
        <v>12500</v>
      </c>
      <c r="Q31" s="84">
        <v>12500</v>
      </c>
      <c r="R31" s="85">
        <f t="shared" si="30"/>
        <v>37500</v>
      </c>
      <c r="S31" s="86">
        <f t="shared" si="31"/>
        <v>150000</v>
      </c>
      <c r="T31" s="107"/>
    </row>
    <row r="32" spans="1:26" s="108" customFormat="1" ht="18" customHeight="1" x14ac:dyDescent="0.3">
      <c r="A32" s="1"/>
      <c r="B32" s="106" t="s">
        <v>50</v>
      </c>
      <c r="C32" s="77">
        <v>500</v>
      </c>
      <c r="D32" s="77">
        <v>500</v>
      </c>
      <c r="E32" s="77">
        <v>500</v>
      </c>
      <c r="F32" s="78">
        <f t="shared" si="27"/>
        <v>1500</v>
      </c>
      <c r="G32" s="79">
        <v>500</v>
      </c>
      <c r="H32" s="87">
        <v>500</v>
      </c>
      <c r="I32" s="87">
        <v>500</v>
      </c>
      <c r="J32" s="80">
        <f t="shared" si="28"/>
        <v>1500</v>
      </c>
      <c r="K32" s="81">
        <v>500</v>
      </c>
      <c r="L32" s="88">
        <v>500</v>
      </c>
      <c r="M32" s="88">
        <v>500</v>
      </c>
      <c r="N32" s="82">
        <f t="shared" si="29"/>
        <v>1500</v>
      </c>
      <c r="O32" s="83">
        <v>500</v>
      </c>
      <c r="P32" s="84">
        <v>500</v>
      </c>
      <c r="Q32" s="84">
        <v>500</v>
      </c>
      <c r="R32" s="85">
        <f t="shared" si="30"/>
        <v>1500</v>
      </c>
      <c r="S32" s="86">
        <f t="shared" si="31"/>
        <v>6000</v>
      </c>
      <c r="T32" s="107"/>
    </row>
    <row r="33" spans="1:26" s="108" customFormat="1" ht="21.75" customHeight="1" thickBot="1" x14ac:dyDescent="0.35">
      <c r="A33" s="1"/>
      <c r="B33" s="25" t="s">
        <v>28</v>
      </c>
      <c r="C33" s="109">
        <f>SUM(C28:C32)</f>
        <v>20148.5</v>
      </c>
      <c r="D33" s="109">
        <f>SUM(D28:D32)</f>
        <v>20148.5</v>
      </c>
      <c r="E33" s="109">
        <f>SUM(E28:E32)</f>
        <v>17048.5</v>
      </c>
      <c r="F33" s="78">
        <f t="shared" si="27"/>
        <v>57345.5</v>
      </c>
      <c r="G33" s="110">
        <f>SUM(G28:G32)</f>
        <v>17048.5</v>
      </c>
      <c r="H33" s="111">
        <f>SUM(H28:H32)</f>
        <v>17048.5</v>
      </c>
      <c r="I33" s="111">
        <f>SUM(I28:I32)</f>
        <v>17048.5</v>
      </c>
      <c r="J33" s="80">
        <f t="shared" si="28"/>
        <v>51145.5</v>
      </c>
      <c r="K33" s="112">
        <f>SUM(K28:K32)</f>
        <v>17048.5</v>
      </c>
      <c r="L33" s="113">
        <f>SUM(L28:L32)</f>
        <v>17048.5</v>
      </c>
      <c r="M33" s="113">
        <f>SUM(M28:M32)</f>
        <v>17048.5</v>
      </c>
      <c r="N33" s="82">
        <f t="shared" si="29"/>
        <v>51145.5</v>
      </c>
      <c r="O33" s="114">
        <f>SUM(O28:O32)</f>
        <v>13948.5</v>
      </c>
      <c r="P33" s="115">
        <f>SUM(P28:P32)</f>
        <v>13948.5</v>
      </c>
      <c r="Q33" s="115">
        <f>SUM(Q28:Q32)</f>
        <v>13948.5</v>
      </c>
      <c r="R33" s="85">
        <f t="shared" si="30"/>
        <v>41845.5</v>
      </c>
      <c r="S33" s="93">
        <f t="shared" si="31"/>
        <v>201482</v>
      </c>
      <c r="T33" s="107"/>
    </row>
    <row r="34" spans="1:26" s="108" customFormat="1" ht="18" customHeight="1" x14ac:dyDescent="0.3">
      <c r="A34" s="1"/>
      <c r="B34" s="20" t="s">
        <v>29</v>
      </c>
      <c r="C34" s="73"/>
      <c r="D34" s="73"/>
      <c r="E34" s="73"/>
      <c r="F34" s="74"/>
      <c r="G34" s="75"/>
      <c r="H34" s="73"/>
      <c r="I34" s="73"/>
      <c r="J34" s="74"/>
      <c r="K34" s="75"/>
      <c r="L34" s="73"/>
      <c r="M34" s="73"/>
      <c r="N34" s="74"/>
      <c r="O34" s="75"/>
      <c r="P34" s="73"/>
      <c r="Q34" s="73"/>
      <c r="R34" s="74"/>
      <c r="S34" s="75"/>
      <c r="T34" s="107"/>
    </row>
    <row r="35" spans="1:26" s="108" customFormat="1" ht="18" customHeight="1" x14ac:dyDescent="0.3">
      <c r="A35" s="1"/>
      <c r="B35" s="24" t="s">
        <v>30</v>
      </c>
      <c r="C35" s="77"/>
      <c r="D35" s="77"/>
      <c r="E35" s="77"/>
      <c r="F35" s="78">
        <f t="shared" ref="F35:F36" si="32">SUM(C35:E35)</f>
        <v>0</v>
      </c>
      <c r="G35" s="79">
        <v>1000</v>
      </c>
      <c r="H35" s="87">
        <v>1000</v>
      </c>
      <c r="I35" s="87">
        <v>1000</v>
      </c>
      <c r="J35" s="80">
        <f t="shared" ref="J35:J36" si="33">SUM(G35:I35)</f>
        <v>3000</v>
      </c>
      <c r="K35" s="81">
        <v>1000</v>
      </c>
      <c r="L35" s="88">
        <v>1000</v>
      </c>
      <c r="M35" s="88">
        <v>1000</v>
      </c>
      <c r="N35" s="82">
        <f t="shared" ref="N35:N36" si="34">SUM(K35:M35)</f>
        <v>3000</v>
      </c>
      <c r="O35" s="83">
        <v>1000</v>
      </c>
      <c r="P35" s="84">
        <v>1000</v>
      </c>
      <c r="Q35" s="84">
        <v>1000</v>
      </c>
      <c r="R35" s="85">
        <f t="shared" ref="R35:R36" si="35">SUM(O35:Q35)</f>
        <v>3000</v>
      </c>
      <c r="S35" s="86">
        <v>12000</v>
      </c>
      <c r="T35" s="107"/>
    </row>
    <row r="36" spans="1:26" s="108" customFormat="1" ht="21.75" customHeight="1" thickBot="1" x14ac:dyDescent="0.35">
      <c r="A36" s="1"/>
      <c r="B36" s="25" t="s">
        <v>31</v>
      </c>
      <c r="C36" s="109">
        <f>SUM(C35:C35)</f>
        <v>0</v>
      </c>
      <c r="D36" s="109">
        <f>SUM(D35:D35)</f>
        <v>0</v>
      </c>
      <c r="E36" s="109">
        <f>SUM(E35:E35)</f>
        <v>0</v>
      </c>
      <c r="F36" s="78">
        <f t="shared" si="32"/>
        <v>0</v>
      </c>
      <c r="G36" s="110">
        <f>SUM(G35:G35)</f>
        <v>1000</v>
      </c>
      <c r="H36" s="111">
        <f>SUM(H35:H35)</f>
        <v>1000</v>
      </c>
      <c r="I36" s="111">
        <f>SUM(I35:I35)</f>
        <v>1000</v>
      </c>
      <c r="J36" s="80">
        <f t="shared" si="33"/>
        <v>3000</v>
      </c>
      <c r="K36" s="112">
        <f>SUM(K35:K35)</f>
        <v>1000</v>
      </c>
      <c r="L36" s="113">
        <f>SUM(L35:L35)</f>
        <v>1000</v>
      </c>
      <c r="M36" s="113">
        <f>SUM(M35:M35)</f>
        <v>1000</v>
      </c>
      <c r="N36" s="82">
        <f t="shared" si="34"/>
        <v>3000</v>
      </c>
      <c r="O36" s="114">
        <f>SUM(O35:O35)</f>
        <v>1000</v>
      </c>
      <c r="P36" s="115">
        <f>SUM(P35:P35)</f>
        <v>1000</v>
      </c>
      <c r="Q36" s="115">
        <f>SUM(Q35:Q35)</f>
        <v>1000</v>
      </c>
      <c r="R36" s="85">
        <f t="shared" si="35"/>
        <v>3000</v>
      </c>
      <c r="S36" s="86">
        <v>12000</v>
      </c>
      <c r="T36" s="107"/>
    </row>
    <row r="37" spans="1:26" s="108" customFormat="1" ht="21.75" customHeight="1" thickBot="1" x14ac:dyDescent="0.35">
      <c r="A37" s="1"/>
      <c r="B37" s="26" t="s">
        <v>32</v>
      </c>
      <c r="C37" s="94">
        <f>C36+C33+C26</f>
        <v>20748.5</v>
      </c>
      <c r="D37" s="94">
        <f>D36+D33+D26</f>
        <v>20448.5</v>
      </c>
      <c r="E37" s="94">
        <f>E36+E33+E26</f>
        <v>27349.5</v>
      </c>
      <c r="F37" s="95">
        <f t="shared" ref="F37" si="36">SUM(C37:E37)</f>
        <v>68546.5</v>
      </c>
      <c r="G37" s="87">
        <f>G36+G33+G26</f>
        <v>29049.5</v>
      </c>
      <c r="H37" s="87">
        <f>H36+H33+H26</f>
        <v>29349.5</v>
      </c>
      <c r="I37" s="87">
        <f>I36+I33+I26</f>
        <v>61209.5</v>
      </c>
      <c r="J37" s="96">
        <f t="shared" ref="J37" si="37">SUM(G37:I37)</f>
        <v>119608.5</v>
      </c>
      <c r="K37" s="88">
        <f>K36+K33+K26</f>
        <v>29349.5</v>
      </c>
      <c r="L37" s="88">
        <f>L36+L33+L26</f>
        <v>53169.5</v>
      </c>
      <c r="M37" s="88">
        <f>M36+M33+M26</f>
        <v>29349.5</v>
      </c>
      <c r="N37" s="97">
        <f t="shared" ref="N37" si="38">SUM(K37:M37)</f>
        <v>111868.5</v>
      </c>
      <c r="O37" s="84">
        <f>O36+O33+O26</f>
        <v>24949.5</v>
      </c>
      <c r="P37" s="84">
        <f>P36+P33+P26</f>
        <v>25249.5</v>
      </c>
      <c r="Q37" s="84">
        <f>Q36+Q33+Q26</f>
        <v>57109.5</v>
      </c>
      <c r="R37" s="98">
        <f t="shared" ref="R37" si="39">SUM(O37:Q37)</f>
        <v>107308.5</v>
      </c>
      <c r="S37" s="86">
        <v>12000</v>
      </c>
      <c r="T37" s="107"/>
    </row>
    <row r="38" spans="1:26" s="108" customFormat="1" ht="17.399999999999999" customHeight="1" x14ac:dyDescent="0.3">
      <c r="A38" s="1"/>
      <c r="B38" s="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107"/>
    </row>
    <row r="39" spans="1:26" s="108" customFormat="1" ht="24" customHeight="1" x14ac:dyDescent="0.3">
      <c r="A39" s="4"/>
      <c r="B39" s="5" t="s">
        <v>33</v>
      </c>
      <c r="C39" s="34" t="s">
        <v>0</v>
      </c>
      <c r="D39" s="34" t="s">
        <v>1</v>
      </c>
      <c r="E39" s="34" t="s">
        <v>2</v>
      </c>
      <c r="F39" s="35" t="s">
        <v>3</v>
      </c>
      <c r="G39" s="36" t="s">
        <v>4</v>
      </c>
      <c r="H39" s="37" t="s">
        <v>5</v>
      </c>
      <c r="I39" s="37" t="s">
        <v>6</v>
      </c>
      <c r="J39" s="38" t="s">
        <v>7</v>
      </c>
      <c r="K39" s="39" t="s">
        <v>8</v>
      </c>
      <c r="L39" s="40" t="s">
        <v>9</v>
      </c>
      <c r="M39" s="40" t="s">
        <v>10</v>
      </c>
      <c r="N39" s="41" t="s">
        <v>11</v>
      </c>
      <c r="O39" s="42" t="s">
        <v>12</v>
      </c>
      <c r="P39" s="43" t="s">
        <v>13</v>
      </c>
      <c r="Q39" s="43" t="s">
        <v>14</v>
      </c>
      <c r="R39" s="71" t="s">
        <v>15</v>
      </c>
      <c r="S39" s="45" t="s">
        <v>16</v>
      </c>
      <c r="T39" s="116"/>
      <c r="U39" s="117"/>
      <c r="V39" s="117"/>
      <c r="W39" s="117"/>
      <c r="X39" s="117"/>
      <c r="Y39" s="117"/>
      <c r="Z39" s="117"/>
    </row>
    <row r="40" spans="1:26" s="108" customFormat="1" ht="18" customHeight="1" x14ac:dyDescent="0.3">
      <c r="A40" s="1"/>
      <c r="B40" s="20"/>
      <c r="C40" s="73"/>
      <c r="D40" s="73"/>
      <c r="E40" s="73"/>
      <c r="F40" s="74"/>
      <c r="G40" s="75"/>
      <c r="H40" s="73"/>
      <c r="I40" s="73"/>
      <c r="J40" s="74"/>
      <c r="K40" s="75"/>
      <c r="L40" s="73"/>
      <c r="M40" s="73"/>
      <c r="N40" s="74"/>
      <c r="O40" s="75"/>
      <c r="P40" s="73"/>
      <c r="Q40" s="73"/>
      <c r="R40" s="74"/>
      <c r="S40" s="75"/>
      <c r="T40" s="107"/>
    </row>
    <row r="41" spans="1:26" s="108" customFormat="1" ht="18" customHeight="1" x14ac:dyDescent="0.3">
      <c r="A41" s="1"/>
      <c r="B41" s="24" t="s">
        <v>34</v>
      </c>
      <c r="C41" s="77">
        <v>106552</v>
      </c>
      <c r="D41" s="77">
        <v>106552</v>
      </c>
      <c r="E41" s="77">
        <v>106552</v>
      </c>
      <c r="F41" s="78">
        <f t="shared" ref="F41:F43" si="40">SUM(C41:E41)</f>
        <v>319656</v>
      </c>
      <c r="G41" s="79">
        <v>106552</v>
      </c>
      <c r="H41" s="87">
        <v>106552</v>
      </c>
      <c r="I41" s="87">
        <v>106552</v>
      </c>
      <c r="J41" s="82">
        <f t="shared" ref="J41:J42" si="41">SUM(G41:I41)</f>
        <v>319656</v>
      </c>
      <c r="K41" s="81">
        <v>106552</v>
      </c>
      <c r="L41" s="88">
        <v>106552</v>
      </c>
      <c r="M41" s="88">
        <v>106552</v>
      </c>
      <c r="N41" s="82">
        <f t="shared" ref="N41:N43" si="42">SUM(K41:M41)</f>
        <v>319656</v>
      </c>
      <c r="O41" s="83">
        <v>106552</v>
      </c>
      <c r="P41" s="84">
        <v>106552</v>
      </c>
      <c r="Q41" s="84">
        <v>106552</v>
      </c>
      <c r="R41" s="85">
        <f t="shared" ref="R41:R43" si="43">SUM(O41:Q41)</f>
        <v>319656</v>
      </c>
      <c r="S41" s="86">
        <f t="shared" ref="S41:S43" si="44">SUM(F41,J41,N41,R41)</f>
        <v>1278624</v>
      </c>
      <c r="T41" s="107"/>
    </row>
    <row r="42" spans="1:26" s="108" customFormat="1" ht="18" customHeight="1" x14ac:dyDescent="0.3">
      <c r="A42" s="1"/>
      <c r="B42" s="131" t="s">
        <v>70</v>
      </c>
      <c r="C42" s="124">
        <v>12000</v>
      </c>
      <c r="D42" s="124">
        <v>12000</v>
      </c>
      <c r="E42" s="124">
        <v>12000</v>
      </c>
      <c r="F42" s="78">
        <f t="shared" si="40"/>
        <v>36000</v>
      </c>
      <c r="G42" s="125">
        <v>12000</v>
      </c>
      <c r="H42" s="126">
        <v>12000</v>
      </c>
      <c r="I42" s="126">
        <v>12000</v>
      </c>
      <c r="J42" s="82">
        <f t="shared" si="41"/>
        <v>36000</v>
      </c>
      <c r="K42" s="127">
        <v>12000</v>
      </c>
      <c r="L42" s="128">
        <v>12000</v>
      </c>
      <c r="M42" s="128">
        <v>12000</v>
      </c>
      <c r="N42" s="82">
        <f t="shared" si="42"/>
        <v>36000</v>
      </c>
      <c r="O42" s="129">
        <v>12000</v>
      </c>
      <c r="P42" s="130">
        <v>12000</v>
      </c>
      <c r="Q42" s="130">
        <v>12000</v>
      </c>
      <c r="R42" s="85">
        <f t="shared" si="43"/>
        <v>36000</v>
      </c>
      <c r="S42" s="86">
        <f t="shared" si="44"/>
        <v>144000</v>
      </c>
      <c r="T42" s="107"/>
    </row>
    <row r="43" spans="1:26" s="108" customFormat="1" ht="21.75" customHeight="1" thickBot="1" x14ac:dyDescent="0.35">
      <c r="A43" s="1"/>
      <c r="B43" s="119" t="s">
        <v>51</v>
      </c>
      <c r="C43" s="109">
        <f>SUM(C41:C42)</f>
        <v>118552</v>
      </c>
      <c r="D43" s="109">
        <f>SUM(D41:D42)</f>
        <v>118552</v>
      </c>
      <c r="E43" s="109">
        <f>SUM(E41:E42)</f>
        <v>118552</v>
      </c>
      <c r="F43" s="78">
        <f t="shared" si="40"/>
        <v>355656</v>
      </c>
      <c r="G43" s="110">
        <f>SUM(G41:G42)</f>
        <v>118552</v>
      </c>
      <c r="H43" s="110">
        <f>SUM(H41:H42)</f>
        <v>118552</v>
      </c>
      <c r="I43" s="110">
        <f>SUM(I41:I42)</f>
        <v>118552</v>
      </c>
      <c r="J43" s="80">
        <f t="shared" ref="J43" si="45">SUM(G43:I43)</f>
        <v>355656</v>
      </c>
      <c r="K43" s="112">
        <f>SUM(K41:K42)</f>
        <v>118552</v>
      </c>
      <c r="L43" s="112">
        <f>SUM(L41:L42)</f>
        <v>118552</v>
      </c>
      <c r="M43" s="112">
        <f>SUM(M41:M42)</f>
        <v>118552</v>
      </c>
      <c r="N43" s="82">
        <f t="shared" si="42"/>
        <v>355656</v>
      </c>
      <c r="O43" s="114">
        <f>SUM(O41:O42)</f>
        <v>118552</v>
      </c>
      <c r="P43" s="114">
        <f>SUM(P41:P42)</f>
        <v>118552</v>
      </c>
      <c r="Q43" s="114">
        <f>SUM(Q41:Q42)</f>
        <v>118552</v>
      </c>
      <c r="R43" s="85">
        <f t="shared" si="43"/>
        <v>355656</v>
      </c>
      <c r="S43" s="93">
        <f t="shared" si="44"/>
        <v>1422624</v>
      </c>
      <c r="T43" s="107"/>
    </row>
    <row r="44" spans="1:26" s="108" customFormat="1" ht="15.6" x14ac:dyDescent="0.3">
      <c r="A44" s="1"/>
      <c r="B44" s="2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07"/>
    </row>
    <row r="45" spans="1:26" s="108" customFormat="1" ht="21.75" customHeight="1" thickBot="1" x14ac:dyDescent="0.35">
      <c r="A45" s="1"/>
      <c r="B45" s="26" t="s">
        <v>17</v>
      </c>
      <c r="C45" s="94">
        <f>SUM(C37,C43)</f>
        <v>139300.5</v>
      </c>
      <c r="D45" s="94">
        <f>SUM(D37,D43)</f>
        <v>139000.5</v>
      </c>
      <c r="E45" s="94">
        <f>SUM(E37,E43)</f>
        <v>145901.5</v>
      </c>
      <c r="F45" s="95">
        <f>SUM(C45:E45)</f>
        <v>424202.5</v>
      </c>
      <c r="G45" s="96">
        <f>SUM(G37,G43)</f>
        <v>147601.5</v>
      </c>
      <c r="H45" s="96">
        <f>SUM(H37,H43)</f>
        <v>147901.5</v>
      </c>
      <c r="I45" s="96">
        <f>SUM(I37,I43)</f>
        <v>179761.5</v>
      </c>
      <c r="J45" s="96">
        <f>SUM(G45:I45)</f>
        <v>475264.5</v>
      </c>
      <c r="K45" s="88">
        <f>SUM(K37,K43)</f>
        <v>147901.5</v>
      </c>
      <c r="L45" s="88">
        <f>SUM(L37,L43)</f>
        <v>171721.5</v>
      </c>
      <c r="M45" s="88">
        <f>SUM(M37,M43)</f>
        <v>147901.5</v>
      </c>
      <c r="N45" s="97">
        <f>SUM(K45:M45)</f>
        <v>467524.5</v>
      </c>
      <c r="O45" s="115">
        <f>SUM(O37,O43)</f>
        <v>143501.5</v>
      </c>
      <c r="P45" s="115">
        <f>SUM(P37,P43)</f>
        <v>143801.5</v>
      </c>
      <c r="Q45" s="115">
        <f>SUM(Q37,Q43)</f>
        <v>175661.5</v>
      </c>
      <c r="R45" s="118">
        <f>SUM(O45:Q45)</f>
        <v>462964.5</v>
      </c>
      <c r="S45" s="99">
        <f>SUM(F45,J45,N45,R45)</f>
        <v>1829956</v>
      </c>
      <c r="T45" s="107"/>
    </row>
    <row r="46" spans="1:26" ht="15.6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6" ht="15.6" x14ac:dyDescent="0.3">
      <c r="A47" s="27"/>
      <c r="B47" s="3"/>
      <c r="C47" s="3">
        <v>142400</v>
      </c>
      <c r="D47" s="3">
        <v>142100</v>
      </c>
      <c r="E47" s="3">
        <v>152101</v>
      </c>
      <c r="F47" s="3">
        <v>153801</v>
      </c>
      <c r="G47" s="3">
        <v>154101</v>
      </c>
      <c r="H47" s="3">
        <v>185961</v>
      </c>
      <c r="I47" s="3">
        <v>154101</v>
      </c>
      <c r="J47" s="3">
        <v>177921</v>
      </c>
      <c r="K47" s="3">
        <v>154101</v>
      </c>
      <c r="L47" s="3">
        <v>152801</v>
      </c>
      <c r="M47" s="3">
        <v>153101</v>
      </c>
      <c r="N47" s="3">
        <v>184961</v>
      </c>
      <c r="O47" s="3"/>
      <c r="P47" s="3"/>
      <c r="Q47" s="3"/>
      <c r="R47" s="3"/>
      <c r="S47" s="3"/>
      <c r="T47" s="3"/>
    </row>
    <row r="48" spans="1:26" ht="15.6" x14ac:dyDescent="0.3">
      <c r="A48" s="2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5.6" x14ac:dyDescent="0.3">
      <c r="A49" s="2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5.6" x14ac:dyDescent="0.3">
      <c r="A50" s="2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5.6" x14ac:dyDescent="0.3">
      <c r="A51" s="2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5.6" x14ac:dyDescent="0.3">
      <c r="A52" s="2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15.6" x14ac:dyDescent="0.3">
      <c r="A53" s="2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5.6" x14ac:dyDescent="0.3">
      <c r="A54" s="2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6" x14ac:dyDescent="0.3">
      <c r="A55" s="2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6" x14ac:dyDescent="0.3">
      <c r="A56" s="2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6" x14ac:dyDescent="0.3">
      <c r="A57" s="2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6" x14ac:dyDescent="0.3">
      <c r="A58" s="2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6" x14ac:dyDescent="0.3">
      <c r="A59" s="2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6" x14ac:dyDescent="0.3">
      <c r="A60" s="28"/>
    </row>
    <row r="61" spans="1:20" ht="15.6" x14ac:dyDescent="0.3">
      <c r="A61" s="28"/>
    </row>
    <row r="62" spans="1:20" ht="15.6" x14ac:dyDescent="0.3">
      <c r="A62" s="28"/>
    </row>
    <row r="63" spans="1:20" ht="15.6" x14ac:dyDescent="0.3">
      <c r="A63" s="28"/>
    </row>
    <row r="64" spans="1:20" ht="15.6" x14ac:dyDescent="0.3">
      <c r="A64" s="28"/>
    </row>
    <row r="65" spans="1:1" ht="15.6" x14ac:dyDescent="0.3">
      <c r="A65" s="28"/>
    </row>
    <row r="66" spans="1:1" ht="15.6" x14ac:dyDescent="0.3">
      <c r="A66" s="28"/>
    </row>
    <row r="67" spans="1:1" ht="15.6" x14ac:dyDescent="0.3">
      <c r="A67" s="28"/>
    </row>
    <row r="68" spans="1:1" ht="15.6" x14ac:dyDescent="0.3">
      <c r="A68" s="28"/>
    </row>
    <row r="69" spans="1:1" ht="15.6" x14ac:dyDescent="0.3">
      <c r="A69" s="28"/>
    </row>
    <row r="70" spans="1:1" ht="15.6" x14ac:dyDescent="0.3">
      <c r="A70" s="28"/>
    </row>
    <row r="71" spans="1:1" ht="15.6" x14ac:dyDescent="0.3">
      <c r="A71" s="28"/>
    </row>
    <row r="72" spans="1:1" ht="15.6" x14ac:dyDescent="0.3">
      <c r="A72" s="28"/>
    </row>
    <row r="73" spans="1:1" ht="15.6" x14ac:dyDescent="0.3">
      <c r="A73" s="28"/>
    </row>
    <row r="74" spans="1:1" ht="15.6" x14ac:dyDescent="0.3">
      <c r="A74" s="28"/>
    </row>
    <row r="75" spans="1:1" ht="15.6" x14ac:dyDescent="0.3">
      <c r="A75" s="28"/>
    </row>
    <row r="76" spans="1:1" ht="15.6" x14ac:dyDescent="0.3">
      <c r="A76" s="28"/>
    </row>
    <row r="77" spans="1:1" ht="15.6" x14ac:dyDescent="0.3">
      <c r="A77" s="28"/>
    </row>
    <row r="78" spans="1:1" ht="15.6" x14ac:dyDescent="0.3">
      <c r="A78" s="28"/>
    </row>
    <row r="79" spans="1:1" ht="15.6" x14ac:dyDescent="0.3">
      <c r="A79" s="28"/>
    </row>
    <row r="80" spans="1:1" ht="15.6" x14ac:dyDescent="0.3">
      <c r="A80" s="28"/>
    </row>
    <row r="81" spans="1:1" ht="15.6" x14ac:dyDescent="0.3">
      <c r="A81" s="28"/>
    </row>
    <row r="82" spans="1:1" ht="15.6" x14ac:dyDescent="0.3">
      <c r="A82" s="28"/>
    </row>
    <row r="83" spans="1:1" ht="15.6" x14ac:dyDescent="0.3">
      <c r="A83" s="28"/>
    </row>
    <row r="84" spans="1:1" ht="15.6" x14ac:dyDescent="0.3">
      <c r="A84" s="28"/>
    </row>
    <row r="85" spans="1:1" ht="15.6" x14ac:dyDescent="0.3">
      <c r="A85" s="28"/>
    </row>
    <row r="86" spans="1:1" ht="15.6" x14ac:dyDescent="0.3">
      <c r="A86" s="28"/>
    </row>
    <row r="87" spans="1:1" ht="15.6" x14ac:dyDescent="0.3">
      <c r="A87" s="28"/>
    </row>
    <row r="88" spans="1:1" ht="15.6" x14ac:dyDescent="0.3">
      <c r="A88" s="28"/>
    </row>
    <row r="89" spans="1:1" ht="15.6" x14ac:dyDescent="0.3">
      <c r="A89" s="28"/>
    </row>
    <row r="90" spans="1:1" ht="15.6" x14ac:dyDescent="0.3">
      <c r="A90" s="28"/>
    </row>
    <row r="91" spans="1:1" ht="15.6" x14ac:dyDescent="0.3">
      <c r="A91" s="28"/>
    </row>
    <row r="92" spans="1:1" ht="15.6" x14ac:dyDescent="0.3">
      <c r="A92" s="28"/>
    </row>
    <row r="93" spans="1:1" ht="15.6" x14ac:dyDescent="0.3">
      <c r="A93" s="28"/>
    </row>
    <row r="94" spans="1:1" ht="15.6" x14ac:dyDescent="0.3">
      <c r="A94" s="28"/>
    </row>
    <row r="95" spans="1:1" ht="15.6" x14ac:dyDescent="0.3">
      <c r="A95" s="28"/>
    </row>
    <row r="96" spans="1:1" ht="15.6" x14ac:dyDescent="0.3">
      <c r="A96" s="28"/>
    </row>
    <row r="97" spans="1:1" ht="15.6" x14ac:dyDescent="0.3">
      <c r="A97" s="28"/>
    </row>
    <row r="98" spans="1:1" ht="15.6" x14ac:dyDescent="0.3">
      <c r="A98" s="28"/>
    </row>
    <row r="99" spans="1:1" ht="15.6" x14ac:dyDescent="0.3">
      <c r="A99" s="28"/>
    </row>
    <row r="100" spans="1:1" ht="15.6" x14ac:dyDescent="0.3">
      <c r="A100" s="28"/>
    </row>
    <row r="101" spans="1:1" ht="15.6" x14ac:dyDescent="0.3">
      <c r="A101" s="28"/>
    </row>
    <row r="102" spans="1:1" ht="15.6" x14ac:dyDescent="0.3">
      <c r="A102" s="28"/>
    </row>
    <row r="103" spans="1:1" ht="15.6" x14ac:dyDescent="0.3">
      <c r="A103" s="28"/>
    </row>
    <row r="104" spans="1:1" ht="15.6" x14ac:dyDescent="0.3">
      <c r="A104" s="28"/>
    </row>
    <row r="105" spans="1:1" ht="15.6" x14ac:dyDescent="0.3">
      <c r="A105" s="28"/>
    </row>
    <row r="106" spans="1:1" ht="15.6" x14ac:dyDescent="0.3">
      <c r="A106" s="28"/>
    </row>
    <row r="107" spans="1:1" ht="15.6" x14ac:dyDescent="0.3">
      <c r="A107" s="28"/>
    </row>
    <row r="108" spans="1:1" ht="15.6" x14ac:dyDescent="0.3">
      <c r="A108" s="28"/>
    </row>
    <row r="109" spans="1:1" ht="15.6" x14ac:dyDescent="0.3">
      <c r="A109" s="28"/>
    </row>
    <row r="110" spans="1:1" ht="15.6" x14ac:dyDescent="0.3">
      <c r="A110" s="28"/>
    </row>
    <row r="111" spans="1:1" ht="15.6" x14ac:dyDescent="0.3">
      <c r="A111" s="28"/>
    </row>
    <row r="112" spans="1:1" ht="15.6" x14ac:dyDescent="0.3">
      <c r="A112" s="28"/>
    </row>
    <row r="113" spans="1:1" ht="15.6" x14ac:dyDescent="0.3">
      <c r="A113" s="28"/>
    </row>
    <row r="114" spans="1:1" ht="15.6" x14ac:dyDescent="0.3">
      <c r="A114" s="28"/>
    </row>
    <row r="115" spans="1:1" ht="15.6" x14ac:dyDescent="0.3">
      <c r="A115" s="28"/>
    </row>
    <row r="116" spans="1:1" ht="15.6" x14ac:dyDescent="0.3">
      <c r="A116" s="28"/>
    </row>
    <row r="117" spans="1:1" ht="15.6" x14ac:dyDescent="0.3">
      <c r="A117" s="28"/>
    </row>
    <row r="118" spans="1:1" ht="15.6" x14ac:dyDescent="0.3">
      <c r="A118" s="28"/>
    </row>
    <row r="119" spans="1:1" ht="15.6" x14ac:dyDescent="0.3">
      <c r="A119" s="28"/>
    </row>
    <row r="120" spans="1:1" ht="15.6" x14ac:dyDescent="0.3">
      <c r="A120" s="28"/>
    </row>
    <row r="121" spans="1:1" ht="15.6" x14ac:dyDescent="0.3">
      <c r="A121" s="28"/>
    </row>
    <row r="122" spans="1:1" ht="15.6" x14ac:dyDescent="0.3">
      <c r="A122" s="28"/>
    </row>
    <row r="123" spans="1:1" ht="15.6" x14ac:dyDescent="0.3">
      <c r="A123" s="28"/>
    </row>
    <row r="124" spans="1:1" ht="15.6" x14ac:dyDescent="0.3">
      <c r="A124" s="28"/>
    </row>
    <row r="125" spans="1:1" ht="15.6" x14ac:dyDescent="0.3">
      <c r="A125" s="28"/>
    </row>
    <row r="126" spans="1:1" ht="15.6" x14ac:dyDescent="0.3">
      <c r="A126" s="28"/>
    </row>
    <row r="127" spans="1:1" ht="15.6" x14ac:dyDescent="0.3">
      <c r="A127" s="28"/>
    </row>
    <row r="128" spans="1:1" ht="15.6" x14ac:dyDescent="0.3">
      <c r="A128" s="28"/>
    </row>
    <row r="129" spans="1:1" ht="15.6" x14ac:dyDescent="0.3">
      <c r="A129" s="28"/>
    </row>
    <row r="130" spans="1:1" ht="15.6" x14ac:dyDescent="0.3">
      <c r="A130" s="28"/>
    </row>
    <row r="131" spans="1:1" ht="15.6" x14ac:dyDescent="0.3">
      <c r="A131" s="28"/>
    </row>
    <row r="132" spans="1:1" ht="15.6" x14ac:dyDescent="0.3">
      <c r="A132" s="28"/>
    </row>
    <row r="133" spans="1:1" ht="15.6" x14ac:dyDescent="0.3">
      <c r="A133" s="28"/>
    </row>
    <row r="134" spans="1:1" ht="15.6" x14ac:dyDescent="0.3">
      <c r="A134" s="28"/>
    </row>
    <row r="135" spans="1:1" ht="15.6" x14ac:dyDescent="0.3">
      <c r="A135" s="28"/>
    </row>
    <row r="136" spans="1:1" ht="15.6" x14ac:dyDescent="0.3">
      <c r="A136" s="28"/>
    </row>
    <row r="137" spans="1:1" ht="15.6" x14ac:dyDescent="0.3">
      <c r="A137" s="28"/>
    </row>
    <row r="138" spans="1:1" ht="15.6" x14ac:dyDescent="0.3">
      <c r="A138" s="28"/>
    </row>
    <row r="139" spans="1:1" ht="15.6" x14ac:dyDescent="0.3">
      <c r="A139" s="28"/>
    </row>
    <row r="140" spans="1:1" ht="15.6" x14ac:dyDescent="0.3">
      <c r="A140" s="28"/>
    </row>
    <row r="141" spans="1:1" ht="15.6" x14ac:dyDescent="0.3">
      <c r="A141" s="28"/>
    </row>
    <row r="142" spans="1:1" ht="15.6" x14ac:dyDescent="0.3">
      <c r="A142" s="28"/>
    </row>
    <row r="143" spans="1:1" ht="15.6" x14ac:dyDescent="0.3">
      <c r="A143" s="28"/>
    </row>
    <row r="144" spans="1:1" ht="15.6" x14ac:dyDescent="0.3">
      <c r="A144" s="28"/>
    </row>
    <row r="145" spans="1:1" ht="15.6" x14ac:dyDescent="0.3">
      <c r="A145" s="28"/>
    </row>
    <row r="146" spans="1:1" ht="15.6" x14ac:dyDescent="0.3">
      <c r="A146" s="28"/>
    </row>
    <row r="147" spans="1:1" ht="15.6" x14ac:dyDescent="0.3">
      <c r="A147" s="28"/>
    </row>
    <row r="148" spans="1:1" ht="15.6" x14ac:dyDescent="0.3">
      <c r="A148" s="28"/>
    </row>
    <row r="149" spans="1:1" ht="15.6" x14ac:dyDescent="0.3">
      <c r="A149" s="28"/>
    </row>
    <row r="150" spans="1:1" ht="15.6" x14ac:dyDescent="0.3">
      <c r="A150" s="28"/>
    </row>
    <row r="151" spans="1:1" ht="15.6" x14ac:dyDescent="0.3">
      <c r="A151" s="28"/>
    </row>
    <row r="152" spans="1:1" ht="15.6" x14ac:dyDescent="0.3">
      <c r="A152" s="28"/>
    </row>
    <row r="153" spans="1:1" ht="15.6" x14ac:dyDescent="0.3">
      <c r="A153" s="28"/>
    </row>
    <row r="154" spans="1:1" ht="15.6" x14ac:dyDescent="0.3">
      <c r="A154" s="28"/>
    </row>
    <row r="155" spans="1:1" ht="15.6" x14ac:dyDescent="0.3">
      <c r="A155" s="28"/>
    </row>
    <row r="156" spans="1:1" ht="15.6" x14ac:dyDescent="0.3">
      <c r="A156" s="28"/>
    </row>
    <row r="157" spans="1:1" ht="15.6" x14ac:dyDescent="0.3">
      <c r="A157" s="28"/>
    </row>
    <row r="158" spans="1:1" ht="15.6" x14ac:dyDescent="0.3">
      <c r="A158" s="28"/>
    </row>
    <row r="159" spans="1:1" ht="15.6" x14ac:dyDescent="0.3">
      <c r="A159" s="28"/>
    </row>
    <row r="160" spans="1:1" ht="15.6" x14ac:dyDescent="0.3">
      <c r="A160" s="28"/>
    </row>
    <row r="161" spans="1:1" ht="15.6" x14ac:dyDescent="0.3">
      <c r="A161" s="28"/>
    </row>
    <row r="162" spans="1:1" ht="15.6" x14ac:dyDescent="0.3">
      <c r="A162" s="28"/>
    </row>
    <row r="163" spans="1:1" ht="15.6" x14ac:dyDescent="0.3">
      <c r="A163" s="28"/>
    </row>
    <row r="164" spans="1:1" ht="15.6" x14ac:dyDescent="0.3">
      <c r="A164" s="28"/>
    </row>
    <row r="165" spans="1:1" ht="15.6" x14ac:dyDescent="0.3">
      <c r="A165" s="28"/>
    </row>
    <row r="166" spans="1:1" ht="15.6" x14ac:dyDescent="0.3">
      <c r="A166" s="28"/>
    </row>
    <row r="167" spans="1:1" ht="15.6" x14ac:dyDescent="0.3">
      <c r="A167" s="28"/>
    </row>
    <row r="168" spans="1:1" ht="15.6" x14ac:dyDescent="0.3">
      <c r="A168" s="28"/>
    </row>
    <row r="169" spans="1:1" ht="15.6" x14ac:dyDescent="0.3">
      <c r="A169" s="28"/>
    </row>
    <row r="170" spans="1:1" ht="15.6" x14ac:dyDescent="0.3">
      <c r="A170" s="28"/>
    </row>
    <row r="171" spans="1:1" ht="15.6" x14ac:dyDescent="0.3">
      <c r="A171" s="28"/>
    </row>
    <row r="172" spans="1:1" ht="15.6" x14ac:dyDescent="0.3">
      <c r="A172" s="28"/>
    </row>
    <row r="173" spans="1:1" ht="15.6" x14ac:dyDescent="0.3">
      <c r="A173" s="28"/>
    </row>
    <row r="174" spans="1:1" ht="15.6" x14ac:dyDescent="0.3">
      <c r="A174" s="28"/>
    </row>
    <row r="175" spans="1:1" ht="15.6" x14ac:dyDescent="0.3">
      <c r="A175" s="28"/>
    </row>
    <row r="176" spans="1:1" ht="15.6" x14ac:dyDescent="0.3">
      <c r="A176" s="28"/>
    </row>
    <row r="177" spans="1:1" ht="15.6" x14ac:dyDescent="0.3">
      <c r="A177" s="28"/>
    </row>
    <row r="178" spans="1:1" ht="15.6" x14ac:dyDescent="0.3">
      <c r="A178" s="28"/>
    </row>
    <row r="179" spans="1:1" ht="15.6" x14ac:dyDescent="0.3">
      <c r="A179" s="28"/>
    </row>
    <row r="180" spans="1:1" ht="15.6" x14ac:dyDescent="0.3">
      <c r="A180" s="28"/>
    </row>
    <row r="181" spans="1:1" ht="15.6" x14ac:dyDescent="0.3">
      <c r="A181" s="28"/>
    </row>
    <row r="182" spans="1:1" ht="15.6" x14ac:dyDescent="0.3">
      <c r="A182" s="28"/>
    </row>
    <row r="183" spans="1:1" ht="15.6" x14ac:dyDescent="0.3">
      <c r="A183" s="28"/>
    </row>
    <row r="184" spans="1:1" ht="15.6" x14ac:dyDescent="0.3">
      <c r="A184" s="28"/>
    </row>
    <row r="185" spans="1:1" ht="15.6" x14ac:dyDescent="0.3">
      <c r="A185" s="28"/>
    </row>
    <row r="186" spans="1:1" ht="15.6" x14ac:dyDescent="0.3">
      <c r="A186" s="28"/>
    </row>
    <row r="187" spans="1:1" ht="15.6" x14ac:dyDescent="0.3">
      <c r="A187" s="28"/>
    </row>
    <row r="188" spans="1:1" ht="15.6" x14ac:dyDescent="0.3">
      <c r="A188" s="28"/>
    </row>
    <row r="189" spans="1:1" ht="15.6" x14ac:dyDescent="0.3">
      <c r="A189" s="28"/>
    </row>
    <row r="190" spans="1:1" ht="15.6" x14ac:dyDescent="0.3">
      <c r="A190" s="28"/>
    </row>
    <row r="191" spans="1:1" ht="15.6" x14ac:dyDescent="0.3">
      <c r="A191" s="28"/>
    </row>
    <row r="192" spans="1:1" ht="15.6" x14ac:dyDescent="0.3">
      <c r="A192" s="28"/>
    </row>
    <row r="193" spans="1:1" ht="15.6" x14ac:dyDescent="0.3">
      <c r="A193" s="28"/>
    </row>
    <row r="194" spans="1:1" ht="15.6" x14ac:dyDescent="0.3">
      <c r="A194" s="28"/>
    </row>
    <row r="195" spans="1:1" ht="15.6" x14ac:dyDescent="0.3">
      <c r="A195" s="28"/>
    </row>
    <row r="196" spans="1:1" ht="15.6" x14ac:dyDescent="0.3">
      <c r="A196" s="28"/>
    </row>
    <row r="197" spans="1:1" ht="15.6" x14ac:dyDescent="0.3">
      <c r="A197" s="28"/>
    </row>
    <row r="198" spans="1:1" ht="15.6" x14ac:dyDescent="0.3">
      <c r="A198" s="28"/>
    </row>
    <row r="199" spans="1:1" ht="15.6" x14ac:dyDescent="0.3">
      <c r="A199" s="28"/>
    </row>
    <row r="200" spans="1:1" ht="15.6" x14ac:dyDescent="0.3">
      <c r="A200" s="28"/>
    </row>
    <row r="201" spans="1:1" ht="15.6" x14ac:dyDescent="0.3">
      <c r="A201" s="28"/>
    </row>
    <row r="202" spans="1:1" ht="15.6" x14ac:dyDescent="0.3">
      <c r="A202" s="28"/>
    </row>
    <row r="203" spans="1:1" ht="15.6" x14ac:dyDescent="0.3">
      <c r="A203" s="28"/>
    </row>
    <row r="204" spans="1:1" ht="15.6" x14ac:dyDescent="0.3">
      <c r="A204" s="28"/>
    </row>
    <row r="205" spans="1:1" ht="15.6" x14ac:dyDescent="0.3">
      <c r="A205" s="28"/>
    </row>
    <row r="206" spans="1:1" ht="15.6" x14ac:dyDescent="0.3">
      <c r="A206" s="28"/>
    </row>
    <row r="207" spans="1:1" ht="15.6" x14ac:dyDescent="0.3">
      <c r="A207" s="28"/>
    </row>
    <row r="208" spans="1:1" ht="15.6" x14ac:dyDescent="0.3">
      <c r="A208" s="28"/>
    </row>
    <row r="209" spans="1:1" ht="15.6" x14ac:dyDescent="0.3">
      <c r="A209" s="28"/>
    </row>
    <row r="210" spans="1:1" ht="15.6" x14ac:dyDescent="0.3">
      <c r="A210" s="28"/>
    </row>
    <row r="211" spans="1:1" ht="15.6" x14ac:dyDescent="0.3">
      <c r="A211" s="28"/>
    </row>
    <row r="212" spans="1:1" ht="15.6" x14ac:dyDescent="0.3">
      <c r="A212" s="28"/>
    </row>
    <row r="213" spans="1:1" ht="15.6" x14ac:dyDescent="0.3">
      <c r="A213" s="28"/>
    </row>
    <row r="214" spans="1:1" ht="15.6" x14ac:dyDescent="0.3">
      <c r="A214" s="28"/>
    </row>
    <row r="215" spans="1:1" ht="15.6" x14ac:dyDescent="0.3">
      <c r="A215" s="28"/>
    </row>
    <row r="216" spans="1:1" ht="15.6" x14ac:dyDescent="0.3">
      <c r="A216" s="28"/>
    </row>
    <row r="217" spans="1:1" ht="15.6" x14ac:dyDescent="0.3">
      <c r="A217" s="28"/>
    </row>
    <row r="218" spans="1:1" ht="15.6" x14ac:dyDescent="0.3">
      <c r="A218" s="28"/>
    </row>
    <row r="219" spans="1:1" ht="15.6" x14ac:dyDescent="0.3">
      <c r="A219" s="28"/>
    </row>
    <row r="220" spans="1:1" ht="15.6" x14ac:dyDescent="0.3">
      <c r="A220" s="28"/>
    </row>
    <row r="221" spans="1:1" ht="15.6" x14ac:dyDescent="0.3">
      <c r="A221" s="28"/>
    </row>
    <row r="222" spans="1:1" ht="15.6" x14ac:dyDescent="0.3">
      <c r="A222" s="28"/>
    </row>
    <row r="223" spans="1:1" ht="15.6" x14ac:dyDescent="0.3">
      <c r="A223" s="28"/>
    </row>
    <row r="224" spans="1:1" ht="15.6" x14ac:dyDescent="0.3">
      <c r="A224" s="28"/>
    </row>
    <row r="225" spans="1:1" ht="15.6" x14ac:dyDescent="0.3">
      <c r="A225" s="28"/>
    </row>
    <row r="226" spans="1:1" ht="15.6" x14ac:dyDescent="0.3">
      <c r="A226" s="28"/>
    </row>
    <row r="227" spans="1:1" ht="15.6" x14ac:dyDescent="0.3">
      <c r="A227" s="28"/>
    </row>
    <row r="228" spans="1:1" ht="15.6" x14ac:dyDescent="0.3">
      <c r="A228" s="28"/>
    </row>
    <row r="229" spans="1:1" ht="15.6" x14ac:dyDescent="0.3">
      <c r="A229" s="28"/>
    </row>
    <row r="230" spans="1:1" ht="15.6" x14ac:dyDescent="0.3">
      <c r="A230" s="28"/>
    </row>
    <row r="231" spans="1:1" ht="15.6" x14ac:dyDescent="0.3">
      <c r="A231" s="28"/>
    </row>
    <row r="232" spans="1:1" ht="15.6" x14ac:dyDescent="0.3">
      <c r="A232" s="28"/>
    </row>
    <row r="233" spans="1:1" ht="15.6" x14ac:dyDescent="0.3">
      <c r="A233" s="28"/>
    </row>
    <row r="234" spans="1:1" ht="15.6" x14ac:dyDescent="0.3">
      <c r="A234" s="28"/>
    </row>
    <row r="235" spans="1:1" ht="15.6" x14ac:dyDescent="0.3">
      <c r="A235" s="28"/>
    </row>
    <row r="236" spans="1:1" ht="15.6" x14ac:dyDescent="0.3">
      <c r="A236" s="28"/>
    </row>
    <row r="237" spans="1:1" ht="15.6" x14ac:dyDescent="0.3">
      <c r="A237" s="28"/>
    </row>
    <row r="238" spans="1:1" ht="15.6" x14ac:dyDescent="0.3">
      <c r="A238" s="28"/>
    </row>
    <row r="239" spans="1:1" ht="15.6" x14ac:dyDescent="0.3">
      <c r="A239" s="28"/>
    </row>
    <row r="240" spans="1:1" ht="15.6" x14ac:dyDescent="0.3">
      <c r="A240" s="28"/>
    </row>
    <row r="241" spans="1:1" ht="15.6" x14ac:dyDescent="0.3">
      <c r="A241" s="28"/>
    </row>
    <row r="242" spans="1:1" ht="15.6" x14ac:dyDescent="0.3">
      <c r="A242" s="28"/>
    </row>
    <row r="243" spans="1:1" ht="15.6" x14ac:dyDescent="0.3">
      <c r="A243" s="28"/>
    </row>
    <row r="244" spans="1:1" ht="15.6" x14ac:dyDescent="0.3">
      <c r="A244" s="28"/>
    </row>
    <row r="245" spans="1:1" ht="15.6" x14ac:dyDescent="0.3">
      <c r="A245" s="28"/>
    </row>
    <row r="246" spans="1:1" ht="15.6" x14ac:dyDescent="0.3">
      <c r="A246" s="28"/>
    </row>
    <row r="247" spans="1:1" ht="15.6" x14ac:dyDescent="0.3">
      <c r="A247" s="28"/>
    </row>
    <row r="248" spans="1:1" ht="15.6" x14ac:dyDescent="0.3">
      <c r="A248" s="28"/>
    </row>
    <row r="249" spans="1:1" ht="15.6" x14ac:dyDescent="0.3">
      <c r="A249" s="28"/>
    </row>
    <row r="250" spans="1:1" ht="15.6" x14ac:dyDescent="0.3">
      <c r="A250" s="28"/>
    </row>
    <row r="251" spans="1:1" ht="15.6" x14ac:dyDescent="0.3">
      <c r="A251" s="28"/>
    </row>
    <row r="252" spans="1:1" ht="15.6" x14ac:dyDescent="0.3">
      <c r="A252" s="28"/>
    </row>
    <row r="253" spans="1:1" ht="15.6" x14ac:dyDescent="0.3">
      <c r="A253" s="28"/>
    </row>
    <row r="254" spans="1:1" ht="15.6" x14ac:dyDescent="0.3">
      <c r="A254" s="28"/>
    </row>
    <row r="255" spans="1:1" ht="15.6" x14ac:dyDescent="0.3">
      <c r="A255" s="28"/>
    </row>
    <row r="256" spans="1:1" ht="15.6" x14ac:dyDescent="0.3">
      <c r="A256" s="28"/>
    </row>
    <row r="257" spans="1:1" ht="15.6" x14ac:dyDescent="0.3">
      <c r="A257" s="28"/>
    </row>
    <row r="258" spans="1:1" ht="15.6" x14ac:dyDescent="0.3">
      <c r="A258" s="28"/>
    </row>
    <row r="259" spans="1:1" ht="15.6" x14ac:dyDescent="0.3">
      <c r="A259" s="28"/>
    </row>
    <row r="260" spans="1:1" ht="15.6" x14ac:dyDescent="0.3">
      <c r="A260" s="28"/>
    </row>
    <row r="261" spans="1:1" ht="15.6" x14ac:dyDescent="0.3">
      <c r="A261" s="28"/>
    </row>
    <row r="262" spans="1:1" ht="15.6" x14ac:dyDescent="0.3">
      <c r="A262" s="28"/>
    </row>
    <row r="263" spans="1:1" ht="15.6" x14ac:dyDescent="0.3">
      <c r="A263" s="28"/>
    </row>
    <row r="264" spans="1:1" ht="15.6" x14ac:dyDescent="0.3">
      <c r="A264" s="28"/>
    </row>
    <row r="265" spans="1:1" ht="15.6" x14ac:dyDescent="0.3">
      <c r="A265" s="28"/>
    </row>
    <row r="266" spans="1:1" ht="15.6" x14ac:dyDescent="0.3">
      <c r="A266" s="28"/>
    </row>
    <row r="267" spans="1:1" ht="15.6" x14ac:dyDescent="0.3">
      <c r="A267" s="28"/>
    </row>
    <row r="268" spans="1:1" ht="15.6" x14ac:dyDescent="0.3">
      <c r="A268" s="28"/>
    </row>
    <row r="269" spans="1:1" ht="15.6" x14ac:dyDescent="0.3">
      <c r="A269" s="28"/>
    </row>
    <row r="270" spans="1:1" ht="15.6" x14ac:dyDescent="0.3">
      <c r="A270" s="28"/>
    </row>
    <row r="271" spans="1:1" ht="15.6" x14ac:dyDescent="0.3">
      <c r="A271" s="28"/>
    </row>
    <row r="272" spans="1:1" ht="15.6" x14ac:dyDescent="0.3">
      <c r="A272" s="28"/>
    </row>
    <row r="273" spans="1:1" ht="15.6" x14ac:dyDescent="0.3">
      <c r="A273" s="28"/>
    </row>
    <row r="274" spans="1:1" ht="15.6" x14ac:dyDescent="0.3">
      <c r="A274" s="28"/>
    </row>
    <row r="275" spans="1:1" ht="15.6" x14ac:dyDescent="0.3">
      <c r="A275" s="28"/>
    </row>
    <row r="276" spans="1:1" ht="15.6" x14ac:dyDescent="0.3">
      <c r="A276" s="28"/>
    </row>
    <row r="277" spans="1:1" ht="15.6" x14ac:dyDescent="0.3">
      <c r="A277" s="28"/>
    </row>
    <row r="278" spans="1:1" ht="15.6" x14ac:dyDescent="0.3">
      <c r="A278" s="28"/>
    </row>
    <row r="279" spans="1:1" ht="15.6" x14ac:dyDescent="0.3">
      <c r="A279" s="28"/>
    </row>
    <row r="280" spans="1:1" ht="15.6" x14ac:dyDescent="0.3">
      <c r="A280" s="28"/>
    </row>
    <row r="281" spans="1:1" ht="15.6" x14ac:dyDescent="0.3">
      <c r="A281" s="28"/>
    </row>
    <row r="282" spans="1:1" ht="15.6" x14ac:dyDescent="0.3">
      <c r="A282" s="28"/>
    </row>
    <row r="283" spans="1:1" ht="15.6" x14ac:dyDescent="0.3">
      <c r="A283" s="28"/>
    </row>
    <row r="284" spans="1:1" ht="15.6" x14ac:dyDescent="0.3">
      <c r="A284" s="28"/>
    </row>
    <row r="285" spans="1:1" ht="15.6" x14ac:dyDescent="0.3">
      <c r="A285" s="28"/>
    </row>
    <row r="286" spans="1:1" ht="15.6" x14ac:dyDescent="0.3">
      <c r="A286" s="28"/>
    </row>
    <row r="287" spans="1:1" ht="15.6" x14ac:dyDescent="0.3">
      <c r="A287" s="28"/>
    </row>
    <row r="288" spans="1:1" ht="15.6" x14ac:dyDescent="0.3">
      <c r="A288" s="28"/>
    </row>
    <row r="289" spans="1:1" ht="15.6" x14ac:dyDescent="0.3">
      <c r="A289" s="28"/>
    </row>
    <row r="290" spans="1:1" ht="15.6" x14ac:dyDescent="0.3">
      <c r="A290" s="28"/>
    </row>
    <row r="291" spans="1:1" ht="15.6" x14ac:dyDescent="0.3">
      <c r="A291" s="28"/>
    </row>
    <row r="292" spans="1:1" ht="15.6" x14ac:dyDescent="0.3">
      <c r="A292" s="28"/>
    </row>
    <row r="293" spans="1:1" ht="15.6" x14ac:dyDescent="0.3">
      <c r="A293" s="28"/>
    </row>
    <row r="294" spans="1:1" ht="15.6" x14ac:dyDescent="0.3">
      <c r="A294" s="28"/>
    </row>
    <row r="295" spans="1:1" ht="15.6" x14ac:dyDescent="0.3">
      <c r="A295" s="28"/>
    </row>
    <row r="296" spans="1:1" ht="15.6" x14ac:dyDescent="0.3">
      <c r="A296" s="28"/>
    </row>
    <row r="297" spans="1:1" ht="15.6" x14ac:dyDescent="0.3">
      <c r="A297" s="28"/>
    </row>
    <row r="298" spans="1:1" ht="15.6" x14ac:dyDescent="0.3">
      <c r="A298" s="28"/>
    </row>
    <row r="299" spans="1:1" ht="15.6" x14ac:dyDescent="0.3">
      <c r="A299" s="28"/>
    </row>
    <row r="300" spans="1:1" ht="15.6" x14ac:dyDescent="0.3">
      <c r="A300" s="28"/>
    </row>
    <row r="301" spans="1:1" ht="15.6" x14ac:dyDescent="0.3">
      <c r="A301" s="28"/>
    </row>
    <row r="302" spans="1:1" ht="15.6" x14ac:dyDescent="0.3">
      <c r="A302" s="28"/>
    </row>
    <row r="303" spans="1:1" ht="15.6" x14ac:dyDescent="0.3">
      <c r="A303" s="28"/>
    </row>
    <row r="304" spans="1:1" ht="15.6" x14ac:dyDescent="0.3">
      <c r="A304" s="28"/>
    </row>
    <row r="305" spans="1:1" ht="15.6" x14ac:dyDescent="0.3">
      <c r="A305" s="28"/>
    </row>
    <row r="306" spans="1:1" ht="15.6" x14ac:dyDescent="0.3">
      <c r="A306" s="28"/>
    </row>
    <row r="307" spans="1:1" ht="15.6" x14ac:dyDescent="0.3">
      <c r="A307" s="28"/>
    </row>
    <row r="308" spans="1:1" ht="15.6" x14ac:dyDescent="0.3">
      <c r="A308" s="28"/>
    </row>
    <row r="309" spans="1:1" ht="15.6" x14ac:dyDescent="0.3">
      <c r="A309" s="28"/>
    </row>
    <row r="310" spans="1:1" ht="15.6" x14ac:dyDescent="0.3">
      <c r="A310" s="28"/>
    </row>
    <row r="311" spans="1:1" ht="15.6" x14ac:dyDescent="0.3">
      <c r="A311" s="28"/>
    </row>
    <row r="312" spans="1:1" ht="15.6" x14ac:dyDescent="0.3">
      <c r="A312" s="28"/>
    </row>
    <row r="313" spans="1:1" ht="15.6" x14ac:dyDescent="0.3">
      <c r="A313" s="28"/>
    </row>
    <row r="314" spans="1:1" ht="15.6" x14ac:dyDescent="0.3">
      <c r="A314" s="28"/>
    </row>
    <row r="315" spans="1:1" ht="15.6" x14ac:dyDescent="0.3">
      <c r="A315" s="28"/>
    </row>
    <row r="316" spans="1:1" ht="15.6" x14ac:dyDescent="0.3">
      <c r="A316" s="28"/>
    </row>
    <row r="317" spans="1:1" ht="15.6" x14ac:dyDescent="0.3">
      <c r="A317" s="28"/>
    </row>
    <row r="318" spans="1:1" ht="15.6" x14ac:dyDescent="0.3">
      <c r="A318" s="28"/>
    </row>
    <row r="319" spans="1:1" ht="15.6" x14ac:dyDescent="0.3">
      <c r="A319" s="28"/>
    </row>
    <row r="320" spans="1:1" ht="15.6" x14ac:dyDescent="0.3">
      <c r="A320" s="28"/>
    </row>
    <row r="321" spans="1:1" ht="15.6" x14ac:dyDescent="0.3">
      <c r="A321" s="28"/>
    </row>
    <row r="322" spans="1:1" ht="15.6" x14ac:dyDescent="0.3">
      <c r="A322" s="28"/>
    </row>
    <row r="323" spans="1:1" ht="15.6" x14ac:dyDescent="0.3">
      <c r="A323" s="28"/>
    </row>
    <row r="324" spans="1:1" ht="15.6" x14ac:dyDescent="0.3">
      <c r="A324" s="28"/>
    </row>
    <row r="325" spans="1:1" ht="15.6" x14ac:dyDescent="0.3">
      <c r="A325" s="28"/>
    </row>
    <row r="326" spans="1:1" ht="15.6" x14ac:dyDescent="0.3">
      <c r="A326" s="28"/>
    </row>
    <row r="327" spans="1:1" ht="15.6" x14ac:dyDescent="0.3">
      <c r="A327" s="28"/>
    </row>
    <row r="328" spans="1:1" ht="15.6" x14ac:dyDescent="0.3">
      <c r="A328" s="28"/>
    </row>
    <row r="329" spans="1:1" ht="15.6" x14ac:dyDescent="0.3">
      <c r="A329" s="28"/>
    </row>
    <row r="330" spans="1:1" ht="15.6" x14ac:dyDescent="0.3">
      <c r="A330" s="28"/>
    </row>
    <row r="331" spans="1:1" ht="15.6" x14ac:dyDescent="0.3">
      <c r="A331" s="28"/>
    </row>
    <row r="332" spans="1:1" ht="15.6" x14ac:dyDescent="0.3">
      <c r="A332" s="28"/>
    </row>
    <row r="333" spans="1:1" ht="15.6" x14ac:dyDescent="0.3">
      <c r="A333" s="28"/>
    </row>
    <row r="334" spans="1:1" ht="15.6" x14ac:dyDescent="0.3">
      <c r="A334" s="28"/>
    </row>
    <row r="335" spans="1:1" ht="15.6" x14ac:dyDescent="0.3">
      <c r="A335" s="28"/>
    </row>
    <row r="336" spans="1:1" ht="15.6" x14ac:dyDescent="0.3">
      <c r="A336" s="28"/>
    </row>
    <row r="337" spans="1:1" ht="15.6" x14ac:dyDescent="0.3">
      <c r="A337" s="28"/>
    </row>
    <row r="338" spans="1:1" ht="15.6" x14ac:dyDescent="0.3">
      <c r="A338" s="28"/>
    </row>
    <row r="339" spans="1:1" ht="15.6" x14ac:dyDescent="0.3">
      <c r="A339" s="28"/>
    </row>
    <row r="340" spans="1:1" ht="15.6" x14ac:dyDescent="0.3">
      <c r="A340" s="28"/>
    </row>
    <row r="341" spans="1:1" ht="15.6" x14ac:dyDescent="0.3">
      <c r="A341" s="28"/>
    </row>
    <row r="342" spans="1:1" ht="15.6" x14ac:dyDescent="0.3">
      <c r="A342" s="28"/>
    </row>
    <row r="343" spans="1:1" ht="15.6" x14ac:dyDescent="0.3">
      <c r="A343" s="28"/>
    </row>
    <row r="344" spans="1:1" ht="15.6" x14ac:dyDescent="0.3">
      <c r="A344" s="28"/>
    </row>
    <row r="345" spans="1:1" ht="15.6" x14ac:dyDescent="0.3">
      <c r="A345" s="28"/>
    </row>
    <row r="346" spans="1:1" ht="15.6" x14ac:dyDescent="0.3">
      <c r="A346" s="28"/>
    </row>
    <row r="347" spans="1:1" ht="15.6" x14ac:dyDescent="0.3">
      <c r="A347" s="28"/>
    </row>
    <row r="348" spans="1:1" ht="15.6" x14ac:dyDescent="0.3">
      <c r="A348" s="28"/>
    </row>
    <row r="349" spans="1:1" ht="15.6" x14ac:dyDescent="0.3">
      <c r="A349" s="28"/>
    </row>
    <row r="350" spans="1:1" ht="15.6" x14ac:dyDescent="0.3">
      <c r="A350" s="28"/>
    </row>
    <row r="351" spans="1:1" ht="15.6" x14ac:dyDescent="0.3">
      <c r="A351" s="28"/>
    </row>
    <row r="352" spans="1:1" ht="15.6" x14ac:dyDescent="0.3">
      <c r="A352" s="28"/>
    </row>
    <row r="353" spans="1:1" ht="15.6" x14ac:dyDescent="0.3">
      <c r="A353" s="28"/>
    </row>
    <row r="354" spans="1:1" ht="15.6" x14ac:dyDescent="0.3">
      <c r="A354" s="28"/>
    </row>
    <row r="355" spans="1:1" ht="15.6" x14ac:dyDescent="0.3">
      <c r="A355" s="28"/>
    </row>
    <row r="356" spans="1:1" ht="15.6" x14ac:dyDescent="0.3">
      <c r="A356" s="28"/>
    </row>
    <row r="357" spans="1:1" ht="15.6" x14ac:dyDescent="0.3">
      <c r="A357" s="28"/>
    </row>
    <row r="358" spans="1:1" ht="15.6" x14ac:dyDescent="0.3">
      <c r="A358" s="28"/>
    </row>
    <row r="359" spans="1:1" ht="15.6" x14ac:dyDescent="0.3">
      <c r="A359" s="28"/>
    </row>
    <row r="360" spans="1:1" ht="15.6" x14ac:dyDescent="0.3">
      <c r="A360" s="28"/>
    </row>
    <row r="361" spans="1:1" ht="15.6" x14ac:dyDescent="0.3">
      <c r="A361" s="28"/>
    </row>
    <row r="362" spans="1:1" ht="15.6" x14ac:dyDescent="0.3">
      <c r="A362" s="28"/>
    </row>
    <row r="363" spans="1:1" ht="15.6" x14ac:dyDescent="0.3">
      <c r="A363" s="28"/>
    </row>
    <row r="364" spans="1:1" ht="15.6" x14ac:dyDescent="0.3">
      <c r="A364" s="28"/>
    </row>
    <row r="365" spans="1:1" ht="15.6" x14ac:dyDescent="0.3">
      <c r="A365" s="28"/>
    </row>
    <row r="366" spans="1:1" ht="15.6" x14ac:dyDescent="0.3">
      <c r="A366" s="28"/>
    </row>
    <row r="367" spans="1:1" ht="15.6" x14ac:dyDescent="0.3">
      <c r="A367" s="28"/>
    </row>
    <row r="368" spans="1:1" ht="15.6" x14ac:dyDescent="0.3">
      <c r="A368" s="28"/>
    </row>
    <row r="369" spans="1:1" ht="15.6" x14ac:dyDescent="0.3">
      <c r="A369" s="28"/>
    </row>
    <row r="370" spans="1:1" ht="15.6" x14ac:dyDescent="0.3">
      <c r="A370" s="28"/>
    </row>
    <row r="371" spans="1:1" ht="15.6" x14ac:dyDescent="0.3">
      <c r="A371" s="28"/>
    </row>
    <row r="372" spans="1:1" ht="15.6" x14ac:dyDescent="0.3">
      <c r="A372" s="28"/>
    </row>
    <row r="373" spans="1:1" ht="15.6" x14ac:dyDescent="0.3">
      <c r="A373" s="28"/>
    </row>
    <row r="374" spans="1:1" ht="15.6" x14ac:dyDescent="0.3">
      <c r="A374" s="28"/>
    </row>
    <row r="375" spans="1:1" ht="15.6" x14ac:dyDescent="0.3">
      <c r="A375" s="28"/>
    </row>
    <row r="376" spans="1:1" ht="15.6" x14ac:dyDescent="0.3">
      <c r="A376" s="28"/>
    </row>
    <row r="377" spans="1:1" ht="15.6" x14ac:dyDescent="0.3">
      <c r="A377" s="28"/>
    </row>
    <row r="378" spans="1:1" ht="15.6" x14ac:dyDescent="0.3">
      <c r="A378" s="28"/>
    </row>
    <row r="379" spans="1:1" ht="15.6" x14ac:dyDescent="0.3">
      <c r="A379" s="28"/>
    </row>
    <row r="380" spans="1:1" ht="15.6" x14ac:dyDescent="0.3">
      <c r="A380" s="28"/>
    </row>
    <row r="381" spans="1:1" ht="15.6" x14ac:dyDescent="0.3">
      <c r="A381" s="28"/>
    </row>
    <row r="382" spans="1:1" ht="15.6" x14ac:dyDescent="0.3">
      <c r="A382" s="28"/>
    </row>
    <row r="383" spans="1:1" ht="15.6" x14ac:dyDescent="0.3">
      <c r="A383" s="28"/>
    </row>
    <row r="384" spans="1:1" ht="15.6" x14ac:dyDescent="0.3">
      <c r="A384" s="28"/>
    </row>
    <row r="385" spans="1:1" ht="15.6" x14ac:dyDescent="0.3">
      <c r="A385" s="28"/>
    </row>
    <row r="386" spans="1:1" ht="15.6" x14ac:dyDescent="0.3">
      <c r="A386" s="28"/>
    </row>
    <row r="387" spans="1:1" ht="15.6" x14ac:dyDescent="0.3">
      <c r="A387" s="28"/>
    </row>
    <row r="388" spans="1:1" ht="15.6" x14ac:dyDescent="0.3">
      <c r="A388" s="28"/>
    </row>
    <row r="389" spans="1:1" ht="15.6" x14ac:dyDescent="0.3">
      <c r="A389" s="28"/>
    </row>
    <row r="390" spans="1:1" ht="15.6" x14ac:dyDescent="0.3">
      <c r="A390" s="28"/>
    </row>
    <row r="391" spans="1:1" ht="15.6" x14ac:dyDescent="0.3">
      <c r="A391" s="28"/>
    </row>
    <row r="392" spans="1:1" ht="15.6" x14ac:dyDescent="0.3">
      <c r="A392" s="28"/>
    </row>
    <row r="393" spans="1:1" ht="15.6" x14ac:dyDescent="0.3">
      <c r="A393" s="28"/>
    </row>
    <row r="394" spans="1:1" ht="15.6" x14ac:dyDescent="0.3">
      <c r="A394" s="28"/>
    </row>
    <row r="395" spans="1:1" ht="15.6" x14ac:dyDescent="0.3">
      <c r="A395" s="28"/>
    </row>
    <row r="396" spans="1:1" ht="15.6" x14ac:dyDescent="0.3">
      <c r="A396" s="28"/>
    </row>
    <row r="397" spans="1:1" ht="15.6" x14ac:dyDescent="0.3">
      <c r="A397" s="28"/>
    </row>
    <row r="398" spans="1:1" ht="15.6" x14ac:dyDescent="0.3">
      <c r="A398" s="28"/>
    </row>
    <row r="399" spans="1:1" ht="15.6" x14ac:dyDescent="0.3">
      <c r="A399" s="28"/>
    </row>
    <row r="400" spans="1:1" ht="15.6" x14ac:dyDescent="0.3">
      <c r="A400" s="28"/>
    </row>
    <row r="401" spans="1:1" ht="15.6" x14ac:dyDescent="0.3">
      <c r="A401" s="28"/>
    </row>
    <row r="402" spans="1:1" ht="15.6" x14ac:dyDescent="0.3">
      <c r="A402" s="28"/>
    </row>
    <row r="403" spans="1:1" ht="15.6" x14ac:dyDescent="0.3">
      <c r="A403" s="28"/>
    </row>
    <row r="404" spans="1:1" ht="15.6" x14ac:dyDescent="0.3">
      <c r="A404" s="28"/>
    </row>
    <row r="405" spans="1:1" ht="15.6" x14ac:dyDescent="0.3">
      <c r="A405" s="28"/>
    </row>
    <row r="406" spans="1:1" ht="15.6" x14ac:dyDescent="0.3">
      <c r="A406" s="28"/>
    </row>
    <row r="407" spans="1:1" ht="15.6" x14ac:dyDescent="0.3">
      <c r="A407" s="28"/>
    </row>
    <row r="408" spans="1:1" ht="15.6" x14ac:dyDescent="0.3">
      <c r="A408" s="28"/>
    </row>
    <row r="409" spans="1:1" ht="15.6" x14ac:dyDescent="0.3">
      <c r="A409" s="28"/>
    </row>
    <row r="410" spans="1:1" ht="15.6" x14ac:dyDescent="0.3">
      <c r="A410" s="28"/>
    </row>
    <row r="411" spans="1:1" ht="15.6" x14ac:dyDescent="0.3">
      <c r="A411" s="28"/>
    </row>
    <row r="412" spans="1:1" ht="15.6" x14ac:dyDescent="0.3">
      <c r="A412" s="28"/>
    </row>
    <row r="413" spans="1:1" ht="15.6" x14ac:dyDescent="0.3">
      <c r="A413" s="28"/>
    </row>
    <row r="414" spans="1:1" ht="15.6" x14ac:dyDescent="0.3">
      <c r="A414" s="28"/>
    </row>
    <row r="415" spans="1:1" ht="15.6" x14ac:dyDescent="0.3">
      <c r="A415" s="28"/>
    </row>
    <row r="416" spans="1:1" ht="15.6" x14ac:dyDescent="0.3">
      <c r="A416" s="28"/>
    </row>
    <row r="417" spans="1:1" ht="15.6" x14ac:dyDescent="0.3">
      <c r="A417" s="28"/>
    </row>
    <row r="418" spans="1:1" ht="15.6" x14ac:dyDescent="0.3">
      <c r="A418" s="28"/>
    </row>
    <row r="419" spans="1:1" ht="15.6" x14ac:dyDescent="0.3">
      <c r="A419" s="28"/>
    </row>
    <row r="420" spans="1:1" ht="15.6" x14ac:dyDescent="0.3">
      <c r="A420" s="28"/>
    </row>
    <row r="421" spans="1:1" ht="15.6" x14ac:dyDescent="0.3">
      <c r="A421" s="28"/>
    </row>
    <row r="422" spans="1:1" ht="15.6" x14ac:dyDescent="0.3">
      <c r="A422" s="28"/>
    </row>
    <row r="423" spans="1:1" ht="15.6" x14ac:dyDescent="0.3">
      <c r="A423" s="28"/>
    </row>
    <row r="424" spans="1:1" ht="15.6" x14ac:dyDescent="0.3">
      <c r="A424" s="28"/>
    </row>
    <row r="425" spans="1:1" ht="15.6" x14ac:dyDescent="0.3">
      <c r="A425" s="28"/>
    </row>
    <row r="426" spans="1:1" ht="15.6" x14ac:dyDescent="0.3">
      <c r="A426" s="28"/>
    </row>
    <row r="427" spans="1:1" ht="15.6" x14ac:dyDescent="0.3">
      <c r="A427" s="28"/>
    </row>
    <row r="428" spans="1:1" ht="15.6" x14ac:dyDescent="0.3">
      <c r="A428" s="28"/>
    </row>
    <row r="429" spans="1:1" ht="15.6" x14ac:dyDescent="0.3">
      <c r="A429" s="28"/>
    </row>
    <row r="430" spans="1:1" ht="15.6" x14ac:dyDescent="0.3">
      <c r="A430" s="28"/>
    </row>
    <row r="431" spans="1:1" ht="15.6" x14ac:dyDescent="0.3">
      <c r="A431" s="28"/>
    </row>
    <row r="432" spans="1:1" ht="15.6" x14ac:dyDescent="0.3">
      <c r="A432" s="28"/>
    </row>
    <row r="433" spans="1:1" ht="15.6" x14ac:dyDescent="0.3">
      <c r="A433" s="28"/>
    </row>
    <row r="434" spans="1:1" ht="15.6" x14ac:dyDescent="0.3">
      <c r="A434" s="28"/>
    </row>
    <row r="435" spans="1:1" ht="15.6" x14ac:dyDescent="0.3">
      <c r="A435" s="28"/>
    </row>
    <row r="436" spans="1:1" ht="15.6" x14ac:dyDescent="0.3">
      <c r="A436" s="28"/>
    </row>
    <row r="437" spans="1:1" ht="15.6" x14ac:dyDescent="0.3">
      <c r="A437" s="28"/>
    </row>
    <row r="438" spans="1:1" ht="15.6" x14ac:dyDescent="0.3">
      <c r="A438" s="28"/>
    </row>
    <row r="439" spans="1:1" ht="15.6" x14ac:dyDescent="0.3">
      <c r="A439" s="28"/>
    </row>
    <row r="440" spans="1:1" ht="15.6" x14ac:dyDescent="0.3">
      <c r="A440" s="28"/>
    </row>
    <row r="441" spans="1:1" ht="15.6" x14ac:dyDescent="0.3">
      <c r="A441" s="28"/>
    </row>
    <row r="442" spans="1:1" ht="15.6" x14ac:dyDescent="0.3">
      <c r="A442" s="28"/>
    </row>
    <row r="443" spans="1:1" ht="15.6" x14ac:dyDescent="0.3">
      <c r="A443" s="28"/>
    </row>
    <row r="444" spans="1:1" ht="15.6" x14ac:dyDescent="0.3">
      <c r="A444" s="28"/>
    </row>
    <row r="445" spans="1:1" ht="15.6" x14ac:dyDescent="0.3">
      <c r="A445" s="28"/>
    </row>
    <row r="446" spans="1:1" ht="15.6" x14ac:dyDescent="0.3">
      <c r="A446" s="28"/>
    </row>
    <row r="447" spans="1:1" ht="15.6" x14ac:dyDescent="0.3">
      <c r="A447" s="28"/>
    </row>
    <row r="448" spans="1:1" ht="15.6" x14ac:dyDescent="0.3">
      <c r="A448" s="28"/>
    </row>
    <row r="449" spans="1:1" ht="15.6" x14ac:dyDescent="0.3">
      <c r="A449" s="28"/>
    </row>
    <row r="450" spans="1:1" ht="15.6" x14ac:dyDescent="0.3">
      <c r="A450" s="28"/>
    </row>
    <row r="451" spans="1:1" ht="15.6" x14ac:dyDescent="0.3">
      <c r="A451" s="28"/>
    </row>
    <row r="452" spans="1:1" ht="15.6" x14ac:dyDescent="0.3">
      <c r="A452" s="28"/>
    </row>
    <row r="453" spans="1:1" ht="15.6" x14ac:dyDescent="0.3">
      <c r="A453" s="28"/>
    </row>
    <row r="454" spans="1:1" ht="15.6" x14ac:dyDescent="0.3">
      <c r="A454" s="28"/>
    </row>
    <row r="455" spans="1:1" ht="15.6" x14ac:dyDescent="0.3">
      <c r="A455" s="28"/>
    </row>
    <row r="456" spans="1:1" ht="15.6" x14ac:dyDescent="0.3">
      <c r="A456" s="28"/>
    </row>
    <row r="457" spans="1:1" ht="15.6" x14ac:dyDescent="0.3">
      <c r="A457" s="28"/>
    </row>
    <row r="458" spans="1:1" ht="15.6" x14ac:dyDescent="0.3">
      <c r="A458" s="28"/>
    </row>
    <row r="459" spans="1:1" ht="15.6" x14ac:dyDescent="0.3">
      <c r="A459" s="28"/>
    </row>
    <row r="460" spans="1:1" ht="15.6" x14ac:dyDescent="0.3">
      <c r="A460" s="28"/>
    </row>
    <row r="461" spans="1:1" ht="15.6" x14ac:dyDescent="0.3">
      <c r="A461" s="28"/>
    </row>
    <row r="462" spans="1:1" ht="15.6" x14ac:dyDescent="0.3">
      <c r="A462" s="28"/>
    </row>
    <row r="463" spans="1:1" ht="15.6" x14ac:dyDescent="0.3">
      <c r="A463" s="28"/>
    </row>
    <row r="464" spans="1:1" ht="15.6" x14ac:dyDescent="0.3">
      <c r="A464" s="28"/>
    </row>
    <row r="465" spans="1:1" ht="15.6" x14ac:dyDescent="0.3">
      <c r="A465" s="28"/>
    </row>
    <row r="466" spans="1:1" ht="15.6" x14ac:dyDescent="0.3">
      <c r="A466" s="28"/>
    </row>
    <row r="467" spans="1:1" ht="15.6" x14ac:dyDescent="0.3">
      <c r="A467" s="28"/>
    </row>
    <row r="468" spans="1:1" ht="15.6" x14ac:dyDescent="0.3">
      <c r="A468" s="28"/>
    </row>
    <row r="469" spans="1:1" ht="15.6" x14ac:dyDescent="0.3">
      <c r="A469" s="28"/>
    </row>
    <row r="470" spans="1:1" ht="15.6" x14ac:dyDescent="0.3">
      <c r="A470" s="28"/>
    </row>
    <row r="471" spans="1:1" ht="15.6" x14ac:dyDescent="0.3">
      <c r="A471" s="28"/>
    </row>
    <row r="472" spans="1:1" ht="15.6" x14ac:dyDescent="0.3">
      <c r="A472" s="28"/>
    </row>
    <row r="473" spans="1:1" ht="15.6" x14ac:dyDescent="0.3">
      <c r="A473" s="28"/>
    </row>
    <row r="474" spans="1:1" ht="15.6" x14ac:dyDescent="0.3">
      <c r="A474" s="28"/>
    </row>
    <row r="475" spans="1:1" ht="15.6" x14ac:dyDescent="0.3">
      <c r="A475" s="28"/>
    </row>
    <row r="476" spans="1:1" ht="15.6" x14ac:dyDescent="0.3">
      <c r="A476" s="28"/>
    </row>
    <row r="477" spans="1:1" ht="15.6" x14ac:dyDescent="0.3">
      <c r="A477" s="28"/>
    </row>
    <row r="478" spans="1:1" ht="15.6" x14ac:dyDescent="0.3">
      <c r="A478" s="28"/>
    </row>
    <row r="479" spans="1:1" ht="15.6" x14ac:dyDescent="0.3">
      <c r="A479" s="28"/>
    </row>
    <row r="480" spans="1:1" ht="15.6" x14ac:dyDescent="0.3">
      <c r="A480" s="28"/>
    </row>
    <row r="481" spans="1:1" ht="15.6" x14ac:dyDescent="0.3">
      <c r="A481" s="28"/>
    </row>
    <row r="482" spans="1:1" ht="15.6" x14ac:dyDescent="0.3">
      <c r="A482" s="28"/>
    </row>
    <row r="483" spans="1:1" ht="15.6" x14ac:dyDescent="0.3">
      <c r="A483" s="28"/>
    </row>
    <row r="484" spans="1:1" ht="15.6" x14ac:dyDescent="0.3">
      <c r="A484" s="28"/>
    </row>
    <row r="485" spans="1:1" ht="15.6" x14ac:dyDescent="0.3">
      <c r="A485" s="28"/>
    </row>
    <row r="486" spans="1:1" ht="15.6" x14ac:dyDescent="0.3">
      <c r="A486" s="28"/>
    </row>
    <row r="487" spans="1:1" ht="15.6" x14ac:dyDescent="0.3">
      <c r="A487" s="28"/>
    </row>
    <row r="488" spans="1:1" ht="15.6" x14ac:dyDescent="0.3">
      <c r="A488" s="28"/>
    </row>
    <row r="489" spans="1:1" ht="15.6" x14ac:dyDescent="0.3">
      <c r="A489" s="28"/>
    </row>
    <row r="490" spans="1:1" ht="15.6" x14ac:dyDescent="0.3">
      <c r="A490" s="28"/>
    </row>
    <row r="491" spans="1:1" ht="15.6" x14ac:dyDescent="0.3">
      <c r="A491" s="28"/>
    </row>
    <row r="492" spans="1:1" ht="15.6" x14ac:dyDescent="0.3">
      <c r="A492" s="28"/>
    </row>
    <row r="493" spans="1:1" ht="15.6" x14ac:dyDescent="0.3">
      <c r="A493" s="28"/>
    </row>
    <row r="494" spans="1:1" ht="15.6" x14ac:dyDescent="0.3">
      <c r="A494" s="28"/>
    </row>
    <row r="495" spans="1:1" ht="15.6" x14ac:dyDescent="0.3">
      <c r="A495" s="28"/>
    </row>
    <row r="496" spans="1:1" ht="15.6" x14ac:dyDescent="0.3">
      <c r="A496" s="28"/>
    </row>
    <row r="497" spans="1:1" ht="15.6" x14ac:dyDescent="0.3">
      <c r="A497" s="28"/>
    </row>
    <row r="498" spans="1:1" ht="15.6" x14ac:dyDescent="0.3">
      <c r="A498" s="28"/>
    </row>
    <row r="499" spans="1:1" ht="15.6" x14ac:dyDescent="0.3">
      <c r="A499" s="28"/>
    </row>
    <row r="500" spans="1:1" ht="15.6" x14ac:dyDescent="0.3">
      <c r="A500" s="28"/>
    </row>
    <row r="501" spans="1:1" ht="15.6" x14ac:dyDescent="0.3">
      <c r="A501" s="28"/>
    </row>
    <row r="502" spans="1:1" ht="15.6" x14ac:dyDescent="0.3">
      <c r="A502" s="28"/>
    </row>
    <row r="503" spans="1:1" ht="15.6" x14ac:dyDescent="0.3">
      <c r="A503" s="28"/>
    </row>
    <row r="504" spans="1:1" ht="15.6" x14ac:dyDescent="0.3">
      <c r="A504" s="28"/>
    </row>
    <row r="505" spans="1:1" ht="15.6" x14ac:dyDescent="0.3">
      <c r="A505" s="28"/>
    </row>
    <row r="506" spans="1:1" ht="15.6" x14ac:dyDescent="0.3">
      <c r="A506" s="28"/>
    </row>
    <row r="507" spans="1:1" ht="15.6" x14ac:dyDescent="0.3">
      <c r="A507" s="28"/>
    </row>
    <row r="508" spans="1:1" ht="15.6" x14ac:dyDescent="0.3">
      <c r="A508" s="28"/>
    </row>
    <row r="509" spans="1:1" ht="15.6" x14ac:dyDescent="0.3">
      <c r="A509" s="28"/>
    </row>
    <row r="510" spans="1:1" ht="15.6" x14ac:dyDescent="0.3">
      <c r="A510" s="28"/>
    </row>
    <row r="511" spans="1:1" ht="15.6" x14ac:dyDescent="0.3">
      <c r="A511" s="28"/>
    </row>
    <row r="512" spans="1:1" ht="15.6" x14ac:dyDescent="0.3">
      <c r="A512" s="28"/>
    </row>
    <row r="513" spans="1:1" ht="15.6" x14ac:dyDescent="0.3">
      <c r="A513" s="28"/>
    </row>
    <row r="514" spans="1:1" ht="15.6" x14ac:dyDescent="0.3">
      <c r="A514" s="28"/>
    </row>
    <row r="515" spans="1:1" ht="15.6" x14ac:dyDescent="0.3">
      <c r="A515" s="28"/>
    </row>
    <row r="516" spans="1:1" ht="15.6" x14ac:dyDescent="0.3">
      <c r="A516" s="28"/>
    </row>
    <row r="517" spans="1:1" ht="15.6" x14ac:dyDescent="0.3">
      <c r="A517" s="28"/>
    </row>
    <row r="518" spans="1:1" ht="15.6" x14ac:dyDescent="0.3">
      <c r="A518" s="28"/>
    </row>
    <row r="519" spans="1:1" ht="15.6" x14ac:dyDescent="0.3">
      <c r="A519" s="28"/>
    </row>
    <row r="520" spans="1:1" ht="15.6" x14ac:dyDescent="0.3">
      <c r="A520" s="28"/>
    </row>
    <row r="521" spans="1:1" ht="15.6" x14ac:dyDescent="0.3">
      <c r="A521" s="28"/>
    </row>
    <row r="522" spans="1:1" ht="15.6" x14ac:dyDescent="0.3">
      <c r="A522" s="28"/>
    </row>
    <row r="523" spans="1:1" ht="15.6" x14ac:dyDescent="0.3">
      <c r="A523" s="28"/>
    </row>
    <row r="524" spans="1:1" ht="15.6" x14ac:dyDescent="0.3">
      <c r="A524" s="28"/>
    </row>
    <row r="525" spans="1:1" ht="15.6" x14ac:dyDescent="0.3">
      <c r="A525" s="28"/>
    </row>
    <row r="526" spans="1:1" ht="15.6" x14ac:dyDescent="0.3">
      <c r="A526" s="28"/>
    </row>
    <row r="527" spans="1:1" ht="15.6" x14ac:dyDescent="0.3">
      <c r="A527" s="28"/>
    </row>
    <row r="528" spans="1:1" ht="15.6" x14ac:dyDescent="0.3">
      <c r="A528" s="28"/>
    </row>
    <row r="529" spans="1:1" ht="15.6" x14ac:dyDescent="0.3">
      <c r="A529" s="28"/>
    </row>
    <row r="530" spans="1:1" ht="15.6" x14ac:dyDescent="0.3">
      <c r="A530" s="28"/>
    </row>
    <row r="531" spans="1:1" ht="15.6" x14ac:dyDescent="0.3">
      <c r="A531" s="28"/>
    </row>
    <row r="532" spans="1:1" ht="15.6" x14ac:dyDescent="0.3">
      <c r="A532" s="28"/>
    </row>
    <row r="533" spans="1:1" ht="15.6" x14ac:dyDescent="0.3">
      <c r="A533" s="28"/>
    </row>
    <row r="534" spans="1:1" ht="15.6" x14ac:dyDescent="0.3">
      <c r="A534" s="28"/>
    </row>
    <row r="535" spans="1:1" ht="15.6" x14ac:dyDescent="0.3">
      <c r="A535" s="28"/>
    </row>
    <row r="536" spans="1:1" ht="15.6" x14ac:dyDescent="0.3">
      <c r="A536" s="28"/>
    </row>
    <row r="537" spans="1:1" ht="15.6" x14ac:dyDescent="0.3">
      <c r="A537" s="28"/>
    </row>
    <row r="538" spans="1:1" ht="15.6" x14ac:dyDescent="0.3">
      <c r="A538" s="28"/>
    </row>
    <row r="539" spans="1:1" ht="15.6" x14ac:dyDescent="0.3">
      <c r="A539" s="28"/>
    </row>
    <row r="540" spans="1:1" ht="15.6" x14ac:dyDescent="0.3">
      <c r="A540" s="28"/>
    </row>
    <row r="541" spans="1:1" ht="15.6" x14ac:dyDescent="0.3">
      <c r="A541" s="28"/>
    </row>
    <row r="542" spans="1:1" ht="15.6" x14ac:dyDescent="0.3">
      <c r="A542" s="28"/>
    </row>
    <row r="543" spans="1:1" ht="15.6" x14ac:dyDescent="0.3">
      <c r="A543" s="28"/>
    </row>
    <row r="544" spans="1:1" ht="15.6" x14ac:dyDescent="0.3">
      <c r="A544" s="28"/>
    </row>
    <row r="545" spans="1:1" ht="15.6" x14ac:dyDescent="0.3">
      <c r="A545" s="28"/>
    </row>
    <row r="546" spans="1:1" ht="15.6" x14ac:dyDescent="0.3">
      <c r="A546" s="28"/>
    </row>
    <row r="547" spans="1:1" ht="15.6" x14ac:dyDescent="0.3">
      <c r="A547" s="28"/>
    </row>
    <row r="548" spans="1:1" ht="15.6" x14ac:dyDescent="0.3">
      <c r="A548" s="28"/>
    </row>
    <row r="549" spans="1:1" ht="15.6" x14ac:dyDescent="0.3">
      <c r="A549" s="28"/>
    </row>
    <row r="550" spans="1:1" ht="15.6" x14ac:dyDescent="0.3">
      <c r="A550" s="28"/>
    </row>
    <row r="551" spans="1:1" ht="15.6" x14ac:dyDescent="0.3">
      <c r="A551" s="28"/>
    </row>
    <row r="552" spans="1:1" ht="15.6" x14ac:dyDescent="0.3">
      <c r="A552" s="28"/>
    </row>
    <row r="553" spans="1:1" ht="15.6" x14ac:dyDescent="0.3">
      <c r="A553" s="28"/>
    </row>
    <row r="554" spans="1:1" ht="15.6" x14ac:dyDescent="0.3">
      <c r="A554" s="28"/>
    </row>
    <row r="555" spans="1:1" ht="15.6" x14ac:dyDescent="0.3">
      <c r="A555" s="28"/>
    </row>
    <row r="556" spans="1:1" ht="15.6" x14ac:dyDescent="0.3">
      <c r="A556" s="28"/>
    </row>
    <row r="557" spans="1:1" ht="15.6" x14ac:dyDescent="0.3">
      <c r="A557" s="28"/>
    </row>
    <row r="558" spans="1:1" ht="15.6" x14ac:dyDescent="0.3">
      <c r="A558" s="28"/>
    </row>
    <row r="559" spans="1:1" ht="15.6" x14ac:dyDescent="0.3">
      <c r="A559" s="28"/>
    </row>
    <row r="560" spans="1:1" ht="15.6" x14ac:dyDescent="0.3">
      <c r="A560" s="28"/>
    </row>
    <row r="561" spans="1:1" ht="15.6" x14ac:dyDescent="0.3">
      <c r="A561" s="28"/>
    </row>
    <row r="562" spans="1:1" ht="15.6" x14ac:dyDescent="0.3">
      <c r="A562" s="28"/>
    </row>
    <row r="563" spans="1:1" ht="15.6" x14ac:dyDescent="0.3">
      <c r="A563" s="28"/>
    </row>
    <row r="564" spans="1:1" ht="15.6" x14ac:dyDescent="0.3">
      <c r="A564" s="28"/>
    </row>
    <row r="565" spans="1:1" ht="15.6" x14ac:dyDescent="0.3">
      <c r="A565" s="28"/>
    </row>
    <row r="566" spans="1:1" ht="15.6" x14ac:dyDescent="0.3">
      <c r="A566" s="28"/>
    </row>
    <row r="567" spans="1:1" ht="15.6" x14ac:dyDescent="0.3">
      <c r="A567" s="28"/>
    </row>
    <row r="568" spans="1:1" ht="15.6" x14ac:dyDescent="0.3">
      <c r="A568" s="28"/>
    </row>
    <row r="569" spans="1:1" ht="15.6" x14ac:dyDescent="0.3">
      <c r="A569" s="28"/>
    </row>
    <row r="570" spans="1:1" ht="15.6" x14ac:dyDescent="0.3">
      <c r="A570" s="28"/>
    </row>
    <row r="571" spans="1:1" ht="15.6" x14ac:dyDescent="0.3">
      <c r="A571" s="28"/>
    </row>
    <row r="572" spans="1:1" ht="15.6" x14ac:dyDescent="0.3">
      <c r="A572" s="28"/>
    </row>
    <row r="573" spans="1:1" ht="15.6" x14ac:dyDescent="0.3">
      <c r="A573" s="28"/>
    </row>
    <row r="574" spans="1:1" ht="15.6" x14ac:dyDescent="0.3">
      <c r="A574" s="28"/>
    </row>
    <row r="575" spans="1:1" ht="15.6" x14ac:dyDescent="0.3">
      <c r="A575" s="28"/>
    </row>
    <row r="576" spans="1:1" ht="15.6" x14ac:dyDescent="0.3">
      <c r="A576" s="28"/>
    </row>
    <row r="577" spans="1:1" ht="15.6" x14ac:dyDescent="0.3">
      <c r="A577" s="28"/>
    </row>
    <row r="578" spans="1:1" ht="15.6" x14ac:dyDescent="0.3">
      <c r="A578" s="28"/>
    </row>
    <row r="579" spans="1:1" ht="15.6" x14ac:dyDescent="0.3">
      <c r="A579" s="28"/>
    </row>
    <row r="580" spans="1:1" ht="15.6" x14ac:dyDescent="0.3">
      <c r="A580" s="28"/>
    </row>
    <row r="581" spans="1:1" ht="15.6" x14ac:dyDescent="0.3">
      <c r="A581" s="28"/>
    </row>
    <row r="582" spans="1:1" ht="15.6" x14ac:dyDescent="0.3">
      <c r="A582" s="28"/>
    </row>
    <row r="583" spans="1:1" ht="15.6" x14ac:dyDescent="0.3">
      <c r="A583" s="28"/>
    </row>
    <row r="584" spans="1:1" ht="15.6" x14ac:dyDescent="0.3">
      <c r="A584" s="28"/>
    </row>
    <row r="585" spans="1:1" ht="15.6" x14ac:dyDescent="0.3">
      <c r="A585" s="28"/>
    </row>
    <row r="586" spans="1:1" ht="15.6" x14ac:dyDescent="0.3">
      <c r="A586" s="28"/>
    </row>
    <row r="587" spans="1:1" ht="15.6" x14ac:dyDescent="0.3">
      <c r="A587" s="28"/>
    </row>
    <row r="588" spans="1:1" ht="15.6" x14ac:dyDescent="0.3">
      <c r="A588" s="28"/>
    </row>
    <row r="589" spans="1:1" ht="15.6" x14ac:dyDescent="0.3">
      <c r="A589" s="28"/>
    </row>
    <row r="590" spans="1:1" ht="15.6" x14ac:dyDescent="0.3">
      <c r="A590" s="28"/>
    </row>
    <row r="591" spans="1:1" ht="15.6" x14ac:dyDescent="0.3">
      <c r="A591" s="28"/>
    </row>
    <row r="592" spans="1:1" ht="15.6" x14ac:dyDescent="0.3">
      <c r="A592" s="28"/>
    </row>
    <row r="593" spans="1:1" ht="15.6" x14ac:dyDescent="0.3">
      <c r="A593" s="28"/>
    </row>
    <row r="594" spans="1:1" ht="15.6" x14ac:dyDescent="0.3">
      <c r="A594" s="28"/>
    </row>
    <row r="595" spans="1:1" ht="15.6" x14ac:dyDescent="0.3">
      <c r="A595" s="28"/>
    </row>
    <row r="596" spans="1:1" ht="15.6" x14ac:dyDescent="0.3">
      <c r="A596" s="28"/>
    </row>
    <row r="597" spans="1:1" ht="15.6" x14ac:dyDescent="0.3">
      <c r="A597" s="28"/>
    </row>
    <row r="598" spans="1:1" ht="15.6" x14ac:dyDescent="0.3">
      <c r="A598" s="28"/>
    </row>
    <row r="599" spans="1:1" ht="15.6" x14ac:dyDescent="0.3">
      <c r="A599" s="28"/>
    </row>
    <row r="600" spans="1:1" ht="15.6" x14ac:dyDescent="0.3">
      <c r="A600" s="28"/>
    </row>
    <row r="601" spans="1:1" ht="15.6" x14ac:dyDescent="0.3">
      <c r="A601" s="28"/>
    </row>
    <row r="602" spans="1:1" ht="15.6" x14ac:dyDescent="0.3">
      <c r="A602" s="28"/>
    </row>
    <row r="603" spans="1:1" ht="15.6" x14ac:dyDescent="0.3">
      <c r="A603" s="28"/>
    </row>
    <row r="604" spans="1:1" ht="15.6" x14ac:dyDescent="0.3">
      <c r="A604" s="28"/>
    </row>
    <row r="605" spans="1:1" ht="15.6" x14ac:dyDescent="0.3">
      <c r="A605" s="28"/>
    </row>
    <row r="606" spans="1:1" ht="15.6" x14ac:dyDescent="0.3">
      <c r="A606" s="28"/>
    </row>
    <row r="607" spans="1:1" ht="15.6" x14ac:dyDescent="0.3">
      <c r="A607" s="28"/>
    </row>
    <row r="608" spans="1:1" ht="15.6" x14ac:dyDescent="0.3">
      <c r="A608" s="28"/>
    </row>
    <row r="609" spans="1:1" ht="15.6" x14ac:dyDescent="0.3">
      <c r="A609" s="28"/>
    </row>
    <row r="610" spans="1:1" ht="15.6" x14ac:dyDescent="0.3">
      <c r="A610" s="28"/>
    </row>
    <row r="611" spans="1:1" ht="15.6" x14ac:dyDescent="0.3">
      <c r="A611" s="28"/>
    </row>
    <row r="612" spans="1:1" ht="15.6" x14ac:dyDescent="0.3">
      <c r="A612" s="28"/>
    </row>
    <row r="613" spans="1:1" ht="15.6" x14ac:dyDescent="0.3">
      <c r="A613" s="28"/>
    </row>
    <row r="614" spans="1:1" ht="15.6" x14ac:dyDescent="0.3">
      <c r="A614" s="28"/>
    </row>
    <row r="615" spans="1:1" ht="15.6" x14ac:dyDescent="0.3">
      <c r="A615" s="28"/>
    </row>
    <row r="616" spans="1:1" ht="15.6" x14ac:dyDescent="0.3">
      <c r="A616" s="28"/>
    </row>
    <row r="617" spans="1:1" ht="15.6" x14ac:dyDescent="0.3">
      <c r="A617" s="28"/>
    </row>
    <row r="618" spans="1:1" ht="15.6" x14ac:dyDescent="0.3">
      <c r="A618" s="28"/>
    </row>
    <row r="619" spans="1:1" ht="15.6" x14ac:dyDescent="0.3">
      <c r="A619" s="28"/>
    </row>
    <row r="620" spans="1:1" ht="15.6" x14ac:dyDescent="0.3">
      <c r="A620" s="28"/>
    </row>
    <row r="621" spans="1:1" ht="15.6" x14ac:dyDescent="0.3">
      <c r="A621" s="28"/>
    </row>
    <row r="622" spans="1:1" ht="15.6" x14ac:dyDescent="0.3">
      <c r="A622" s="28"/>
    </row>
    <row r="623" spans="1:1" ht="15.6" x14ac:dyDescent="0.3">
      <c r="A623" s="28"/>
    </row>
    <row r="624" spans="1:1" ht="15.6" x14ac:dyDescent="0.3">
      <c r="A624" s="28"/>
    </row>
    <row r="625" spans="1:1" ht="15.6" x14ac:dyDescent="0.3">
      <c r="A625" s="28"/>
    </row>
    <row r="626" spans="1:1" ht="15.6" x14ac:dyDescent="0.3">
      <c r="A626" s="28"/>
    </row>
    <row r="627" spans="1:1" ht="15.6" x14ac:dyDescent="0.3">
      <c r="A627" s="28"/>
    </row>
    <row r="628" spans="1:1" ht="15.6" x14ac:dyDescent="0.3">
      <c r="A628" s="28"/>
    </row>
    <row r="629" spans="1:1" ht="15.6" x14ac:dyDescent="0.3">
      <c r="A629" s="28"/>
    </row>
    <row r="630" spans="1:1" ht="15.6" x14ac:dyDescent="0.3">
      <c r="A630" s="28"/>
    </row>
    <row r="631" spans="1:1" ht="15.6" x14ac:dyDescent="0.3">
      <c r="A631" s="28"/>
    </row>
    <row r="632" spans="1:1" ht="15.6" x14ac:dyDescent="0.3">
      <c r="A632" s="28"/>
    </row>
    <row r="633" spans="1:1" ht="15.6" x14ac:dyDescent="0.3">
      <c r="A633" s="28"/>
    </row>
    <row r="634" spans="1:1" ht="15.6" x14ac:dyDescent="0.3">
      <c r="A634" s="28"/>
    </row>
    <row r="635" spans="1:1" ht="15.6" x14ac:dyDescent="0.3">
      <c r="A635" s="28"/>
    </row>
    <row r="636" spans="1:1" ht="15.6" x14ac:dyDescent="0.3">
      <c r="A636" s="28"/>
    </row>
    <row r="637" spans="1:1" ht="15.6" x14ac:dyDescent="0.3">
      <c r="A637" s="28"/>
    </row>
    <row r="638" spans="1:1" ht="15.6" x14ac:dyDescent="0.3">
      <c r="A638" s="28"/>
    </row>
    <row r="639" spans="1:1" ht="15.6" x14ac:dyDescent="0.3">
      <c r="A639" s="28"/>
    </row>
    <row r="640" spans="1:1" ht="15.6" x14ac:dyDescent="0.3">
      <c r="A640" s="28"/>
    </row>
    <row r="641" spans="1:1" ht="15.6" x14ac:dyDescent="0.3">
      <c r="A641" s="28"/>
    </row>
    <row r="642" spans="1:1" ht="15.6" x14ac:dyDescent="0.3">
      <c r="A642" s="28"/>
    </row>
    <row r="643" spans="1:1" ht="15.6" x14ac:dyDescent="0.3">
      <c r="A643" s="28"/>
    </row>
    <row r="644" spans="1:1" ht="15.6" x14ac:dyDescent="0.3">
      <c r="A644" s="28"/>
    </row>
    <row r="645" spans="1:1" ht="15.6" x14ac:dyDescent="0.3">
      <c r="A645" s="28"/>
    </row>
    <row r="646" spans="1:1" ht="15.6" x14ac:dyDescent="0.3">
      <c r="A646" s="28"/>
    </row>
    <row r="647" spans="1:1" ht="15.6" x14ac:dyDescent="0.3">
      <c r="A647" s="28"/>
    </row>
    <row r="648" spans="1:1" ht="15.6" x14ac:dyDescent="0.3">
      <c r="A648" s="28"/>
    </row>
    <row r="649" spans="1:1" ht="15.6" x14ac:dyDescent="0.3">
      <c r="A649" s="28"/>
    </row>
    <row r="650" spans="1:1" ht="15.6" x14ac:dyDescent="0.3">
      <c r="A650" s="28"/>
    </row>
    <row r="651" spans="1:1" ht="15.6" x14ac:dyDescent="0.3">
      <c r="A651" s="28"/>
    </row>
    <row r="652" spans="1:1" ht="15.6" x14ac:dyDescent="0.3">
      <c r="A652" s="28"/>
    </row>
    <row r="653" spans="1:1" ht="15.6" x14ac:dyDescent="0.3">
      <c r="A653" s="28"/>
    </row>
    <row r="654" spans="1:1" ht="15.6" x14ac:dyDescent="0.3">
      <c r="A654" s="28"/>
    </row>
    <row r="655" spans="1:1" ht="15.6" x14ac:dyDescent="0.3">
      <c r="A655" s="28"/>
    </row>
    <row r="656" spans="1:1" ht="15.6" x14ac:dyDescent="0.3">
      <c r="A656" s="28"/>
    </row>
    <row r="657" spans="1:1" ht="15.6" x14ac:dyDescent="0.3">
      <c r="A657" s="28"/>
    </row>
    <row r="658" spans="1:1" ht="15.6" x14ac:dyDescent="0.3">
      <c r="A658" s="28"/>
    </row>
    <row r="659" spans="1:1" ht="15.6" x14ac:dyDescent="0.3">
      <c r="A659" s="28"/>
    </row>
    <row r="660" spans="1:1" ht="15.6" x14ac:dyDescent="0.3">
      <c r="A660" s="28"/>
    </row>
    <row r="661" spans="1:1" ht="15.6" x14ac:dyDescent="0.3">
      <c r="A661" s="28"/>
    </row>
    <row r="662" spans="1:1" ht="15.6" x14ac:dyDescent="0.3">
      <c r="A662" s="28"/>
    </row>
    <row r="663" spans="1:1" ht="15.6" x14ac:dyDescent="0.3">
      <c r="A663" s="28"/>
    </row>
    <row r="664" spans="1:1" ht="15.6" x14ac:dyDescent="0.3">
      <c r="A664" s="28"/>
    </row>
    <row r="665" spans="1:1" ht="15.6" x14ac:dyDescent="0.3">
      <c r="A665" s="28"/>
    </row>
    <row r="666" spans="1:1" ht="15.6" x14ac:dyDescent="0.3">
      <c r="A666" s="28"/>
    </row>
    <row r="667" spans="1:1" ht="15.6" x14ac:dyDescent="0.3">
      <c r="A667" s="28"/>
    </row>
    <row r="668" spans="1:1" ht="15.6" x14ac:dyDescent="0.3">
      <c r="A668" s="28"/>
    </row>
    <row r="669" spans="1:1" ht="15.6" x14ac:dyDescent="0.3">
      <c r="A669" s="28"/>
    </row>
    <row r="670" spans="1:1" ht="15.6" x14ac:dyDescent="0.3">
      <c r="A670" s="28"/>
    </row>
    <row r="671" spans="1:1" ht="15.6" x14ac:dyDescent="0.3">
      <c r="A671" s="28"/>
    </row>
    <row r="672" spans="1:1" ht="15.6" x14ac:dyDescent="0.3">
      <c r="A672" s="28"/>
    </row>
    <row r="673" spans="1:1" ht="15.6" x14ac:dyDescent="0.3">
      <c r="A673" s="28"/>
    </row>
    <row r="674" spans="1:1" ht="15.6" x14ac:dyDescent="0.3">
      <c r="A674" s="28"/>
    </row>
    <row r="675" spans="1:1" ht="15.6" x14ac:dyDescent="0.3">
      <c r="A675" s="28"/>
    </row>
    <row r="676" spans="1:1" ht="15.6" x14ac:dyDescent="0.3">
      <c r="A676" s="28"/>
    </row>
    <row r="677" spans="1:1" ht="15.6" x14ac:dyDescent="0.3">
      <c r="A677" s="28"/>
    </row>
    <row r="678" spans="1:1" ht="15.6" x14ac:dyDescent="0.3">
      <c r="A678" s="28"/>
    </row>
    <row r="679" spans="1:1" ht="15.6" x14ac:dyDescent="0.3">
      <c r="A679" s="28"/>
    </row>
    <row r="680" spans="1:1" ht="15.6" x14ac:dyDescent="0.3">
      <c r="A680" s="28"/>
    </row>
    <row r="681" spans="1:1" ht="15.6" x14ac:dyDescent="0.3">
      <c r="A681" s="28"/>
    </row>
    <row r="682" spans="1:1" ht="15.6" x14ac:dyDescent="0.3">
      <c r="A682" s="28"/>
    </row>
    <row r="683" spans="1:1" ht="15.6" x14ac:dyDescent="0.3">
      <c r="A683" s="28"/>
    </row>
    <row r="684" spans="1:1" ht="15.6" x14ac:dyDescent="0.3">
      <c r="A684" s="28"/>
    </row>
    <row r="685" spans="1:1" ht="15.6" x14ac:dyDescent="0.3">
      <c r="A685" s="28"/>
    </row>
    <row r="686" spans="1:1" ht="15.6" x14ac:dyDescent="0.3">
      <c r="A686" s="28"/>
    </row>
    <row r="687" spans="1:1" ht="15.6" x14ac:dyDescent="0.3">
      <c r="A687" s="28"/>
    </row>
    <row r="688" spans="1:1" ht="15.6" x14ac:dyDescent="0.3">
      <c r="A688" s="28"/>
    </row>
    <row r="689" spans="1:1" ht="15.6" x14ac:dyDescent="0.3">
      <c r="A689" s="28"/>
    </row>
    <row r="690" spans="1:1" ht="15.6" x14ac:dyDescent="0.3">
      <c r="A690" s="28"/>
    </row>
    <row r="691" spans="1:1" ht="15.6" x14ac:dyDescent="0.3">
      <c r="A691" s="28"/>
    </row>
    <row r="692" spans="1:1" ht="15.6" x14ac:dyDescent="0.3">
      <c r="A692" s="28"/>
    </row>
    <row r="693" spans="1:1" ht="15.6" x14ac:dyDescent="0.3">
      <c r="A693" s="28"/>
    </row>
    <row r="694" spans="1:1" ht="15.6" x14ac:dyDescent="0.3">
      <c r="A694" s="28"/>
    </row>
    <row r="695" spans="1:1" ht="15.6" x14ac:dyDescent="0.3">
      <c r="A695" s="28"/>
    </row>
    <row r="696" spans="1:1" ht="15.6" x14ac:dyDescent="0.3">
      <c r="A696" s="28"/>
    </row>
    <row r="697" spans="1:1" ht="15.6" x14ac:dyDescent="0.3">
      <c r="A697" s="28"/>
    </row>
    <row r="698" spans="1:1" ht="15.6" x14ac:dyDescent="0.3">
      <c r="A698" s="28"/>
    </row>
    <row r="699" spans="1:1" ht="15.6" x14ac:dyDescent="0.3">
      <c r="A699" s="28"/>
    </row>
    <row r="700" spans="1:1" ht="15.6" x14ac:dyDescent="0.3">
      <c r="A700" s="28"/>
    </row>
    <row r="701" spans="1:1" ht="15.6" x14ac:dyDescent="0.3">
      <c r="A701" s="28"/>
    </row>
    <row r="702" spans="1:1" ht="15.6" x14ac:dyDescent="0.3">
      <c r="A702" s="28"/>
    </row>
    <row r="703" spans="1:1" ht="15.6" x14ac:dyDescent="0.3">
      <c r="A703" s="28"/>
    </row>
    <row r="704" spans="1:1" ht="15.6" x14ac:dyDescent="0.3">
      <c r="A704" s="28"/>
    </row>
    <row r="705" spans="1:1" ht="15.6" x14ac:dyDescent="0.3">
      <c r="A705" s="28"/>
    </row>
    <row r="706" spans="1:1" ht="15.6" x14ac:dyDescent="0.3">
      <c r="A706" s="28"/>
    </row>
    <row r="707" spans="1:1" ht="15.6" x14ac:dyDescent="0.3">
      <c r="A707" s="28"/>
    </row>
    <row r="708" spans="1:1" ht="15.6" x14ac:dyDescent="0.3">
      <c r="A708" s="28"/>
    </row>
    <row r="709" spans="1:1" ht="15.6" x14ac:dyDescent="0.3">
      <c r="A709" s="28"/>
    </row>
    <row r="710" spans="1:1" ht="15.6" x14ac:dyDescent="0.3">
      <c r="A710" s="28"/>
    </row>
    <row r="711" spans="1:1" ht="15.6" x14ac:dyDescent="0.3">
      <c r="A711" s="28"/>
    </row>
    <row r="712" spans="1:1" ht="15.6" x14ac:dyDescent="0.3">
      <c r="A712" s="28"/>
    </row>
    <row r="713" spans="1:1" ht="15.6" x14ac:dyDescent="0.3">
      <c r="A713" s="28"/>
    </row>
    <row r="714" spans="1:1" ht="15.6" x14ac:dyDescent="0.3">
      <c r="A714" s="28"/>
    </row>
    <row r="715" spans="1:1" ht="15.6" x14ac:dyDescent="0.3">
      <c r="A715" s="28"/>
    </row>
    <row r="716" spans="1:1" ht="15.6" x14ac:dyDescent="0.3">
      <c r="A716" s="28"/>
    </row>
    <row r="717" spans="1:1" ht="15.6" x14ac:dyDescent="0.3">
      <c r="A717" s="28"/>
    </row>
    <row r="718" spans="1:1" ht="15.6" x14ac:dyDescent="0.3">
      <c r="A718" s="28"/>
    </row>
    <row r="719" spans="1:1" ht="15.6" x14ac:dyDescent="0.3">
      <c r="A719" s="28"/>
    </row>
    <row r="720" spans="1:1" ht="15.6" x14ac:dyDescent="0.3">
      <c r="A720" s="28"/>
    </row>
    <row r="721" spans="1:1" ht="15.6" x14ac:dyDescent="0.3">
      <c r="A721" s="28"/>
    </row>
    <row r="722" spans="1:1" ht="15.6" x14ac:dyDescent="0.3">
      <c r="A722" s="28"/>
    </row>
    <row r="723" spans="1:1" ht="15.6" x14ac:dyDescent="0.3">
      <c r="A723" s="28"/>
    </row>
    <row r="724" spans="1:1" ht="15.6" x14ac:dyDescent="0.3">
      <c r="A724" s="28"/>
    </row>
    <row r="725" spans="1:1" ht="15.6" x14ac:dyDescent="0.3">
      <c r="A725" s="28"/>
    </row>
    <row r="726" spans="1:1" ht="15.6" x14ac:dyDescent="0.3">
      <c r="A726" s="28"/>
    </row>
    <row r="727" spans="1:1" ht="15.6" x14ac:dyDescent="0.3">
      <c r="A727" s="28"/>
    </row>
    <row r="728" spans="1:1" ht="15.6" x14ac:dyDescent="0.3">
      <c r="A728" s="28"/>
    </row>
    <row r="729" spans="1:1" ht="15.6" x14ac:dyDescent="0.3">
      <c r="A729" s="28"/>
    </row>
    <row r="730" spans="1:1" ht="15.6" x14ac:dyDescent="0.3">
      <c r="A730" s="28"/>
    </row>
    <row r="731" spans="1:1" ht="15.6" x14ac:dyDescent="0.3">
      <c r="A731" s="28"/>
    </row>
    <row r="732" spans="1:1" ht="15.6" x14ac:dyDescent="0.3">
      <c r="A732" s="28"/>
    </row>
    <row r="733" spans="1:1" ht="15.6" x14ac:dyDescent="0.3">
      <c r="A733" s="28"/>
    </row>
    <row r="734" spans="1:1" ht="15.6" x14ac:dyDescent="0.3">
      <c r="A734" s="28"/>
    </row>
    <row r="735" spans="1:1" ht="15.6" x14ac:dyDescent="0.3">
      <c r="A735" s="28"/>
    </row>
    <row r="736" spans="1:1" ht="15.6" x14ac:dyDescent="0.3">
      <c r="A736" s="28"/>
    </row>
    <row r="737" spans="1:1" ht="15.6" x14ac:dyDescent="0.3">
      <c r="A737" s="28"/>
    </row>
    <row r="738" spans="1:1" ht="15.6" x14ac:dyDescent="0.3">
      <c r="A738" s="28"/>
    </row>
    <row r="739" spans="1:1" ht="15.6" x14ac:dyDescent="0.3">
      <c r="A739" s="28"/>
    </row>
    <row r="740" spans="1:1" ht="15.6" x14ac:dyDescent="0.3">
      <c r="A740" s="28"/>
    </row>
    <row r="741" spans="1:1" ht="15.6" x14ac:dyDescent="0.3">
      <c r="A741" s="28"/>
    </row>
    <row r="742" spans="1:1" ht="15.6" x14ac:dyDescent="0.3">
      <c r="A742" s="28"/>
    </row>
    <row r="743" spans="1:1" ht="15.6" x14ac:dyDescent="0.3">
      <c r="A743" s="28"/>
    </row>
    <row r="744" spans="1:1" ht="15.6" x14ac:dyDescent="0.3">
      <c r="A744" s="28"/>
    </row>
    <row r="745" spans="1:1" ht="15.6" x14ac:dyDescent="0.3">
      <c r="A745" s="28"/>
    </row>
    <row r="746" spans="1:1" ht="15.6" x14ac:dyDescent="0.3">
      <c r="A746" s="28"/>
    </row>
    <row r="747" spans="1:1" ht="15.6" x14ac:dyDescent="0.3">
      <c r="A747" s="28"/>
    </row>
    <row r="748" spans="1:1" ht="15.6" x14ac:dyDescent="0.3">
      <c r="A748" s="28"/>
    </row>
    <row r="749" spans="1:1" ht="15.6" x14ac:dyDescent="0.3">
      <c r="A749" s="28"/>
    </row>
    <row r="750" spans="1:1" ht="15.6" x14ac:dyDescent="0.3">
      <c r="A750" s="28"/>
    </row>
    <row r="751" spans="1:1" ht="15.6" x14ac:dyDescent="0.3">
      <c r="A751" s="28"/>
    </row>
    <row r="752" spans="1:1" ht="15.6" x14ac:dyDescent="0.3">
      <c r="A752" s="28"/>
    </row>
    <row r="753" spans="1:1" ht="15.6" x14ac:dyDescent="0.3">
      <c r="A753" s="28"/>
    </row>
    <row r="754" spans="1:1" ht="15.6" x14ac:dyDescent="0.3">
      <c r="A754" s="28"/>
    </row>
    <row r="755" spans="1:1" ht="15.6" x14ac:dyDescent="0.3">
      <c r="A755" s="28"/>
    </row>
    <row r="756" spans="1:1" ht="15.6" x14ac:dyDescent="0.3">
      <c r="A756" s="28"/>
    </row>
    <row r="757" spans="1:1" ht="15.6" x14ac:dyDescent="0.3">
      <c r="A757" s="28"/>
    </row>
    <row r="758" spans="1:1" ht="15.6" x14ac:dyDescent="0.3">
      <c r="A758" s="28"/>
    </row>
    <row r="759" spans="1:1" ht="15.6" x14ac:dyDescent="0.3">
      <c r="A759" s="28"/>
    </row>
    <row r="760" spans="1:1" ht="15.6" x14ac:dyDescent="0.3">
      <c r="A760" s="28"/>
    </row>
    <row r="761" spans="1:1" ht="15.6" x14ac:dyDescent="0.3">
      <c r="A761" s="28"/>
    </row>
    <row r="762" spans="1:1" ht="15.6" x14ac:dyDescent="0.3">
      <c r="A762" s="28"/>
    </row>
    <row r="763" spans="1:1" ht="15.6" x14ac:dyDescent="0.3">
      <c r="A763" s="28"/>
    </row>
    <row r="764" spans="1:1" ht="15.6" x14ac:dyDescent="0.3">
      <c r="A764" s="28"/>
    </row>
    <row r="765" spans="1:1" ht="15.6" x14ac:dyDescent="0.3">
      <c r="A765" s="28"/>
    </row>
    <row r="766" spans="1:1" ht="15.6" x14ac:dyDescent="0.3">
      <c r="A766" s="28"/>
    </row>
    <row r="767" spans="1:1" ht="15.6" x14ac:dyDescent="0.3">
      <c r="A767" s="28"/>
    </row>
    <row r="768" spans="1:1" ht="15.6" x14ac:dyDescent="0.3">
      <c r="A768" s="28"/>
    </row>
    <row r="769" spans="1:1" ht="15.6" x14ac:dyDescent="0.3">
      <c r="A769" s="28"/>
    </row>
    <row r="770" spans="1:1" ht="15.6" x14ac:dyDescent="0.3">
      <c r="A770" s="28"/>
    </row>
    <row r="771" spans="1:1" ht="15.6" x14ac:dyDescent="0.3">
      <c r="A771" s="28"/>
    </row>
    <row r="772" spans="1:1" ht="15.6" x14ac:dyDescent="0.3">
      <c r="A772" s="28"/>
    </row>
    <row r="773" spans="1:1" ht="15.6" x14ac:dyDescent="0.3">
      <c r="A773" s="28"/>
    </row>
    <row r="774" spans="1:1" ht="15.6" x14ac:dyDescent="0.3">
      <c r="A774" s="28"/>
    </row>
    <row r="775" spans="1:1" ht="15.6" x14ac:dyDescent="0.3">
      <c r="A775" s="28"/>
    </row>
    <row r="776" spans="1:1" ht="15.6" x14ac:dyDescent="0.3">
      <c r="A776" s="28"/>
    </row>
    <row r="777" spans="1:1" ht="15.6" x14ac:dyDescent="0.3">
      <c r="A777" s="28"/>
    </row>
    <row r="778" spans="1:1" ht="15.6" x14ac:dyDescent="0.3">
      <c r="A778" s="28"/>
    </row>
    <row r="779" spans="1:1" ht="15.6" x14ac:dyDescent="0.3">
      <c r="A779" s="28"/>
    </row>
    <row r="780" spans="1:1" ht="15.6" x14ac:dyDescent="0.3">
      <c r="A780" s="28"/>
    </row>
    <row r="781" spans="1:1" ht="15.6" x14ac:dyDescent="0.3">
      <c r="A781" s="28"/>
    </row>
    <row r="782" spans="1:1" ht="15.6" x14ac:dyDescent="0.3">
      <c r="A782" s="28"/>
    </row>
    <row r="783" spans="1:1" ht="15.6" x14ac:dyDescent="0.3">
      <c r="A783" s="28"/>
    </row>
    <row r="784" spans="1:1" ht="15.6" x14ac:dyDescent="0.3">
      <c r="A784" s="28"/>
    </row>
    <row r="785" spans="1:1" ht="15.6" x14ac:dyDescent="0.3">
      <c r="A785" s="28"/>
    </row>
    <row r="786" spans="1:1" ht="15.6" x14ac:dyDescent="0.3">
      <c r="A786" s="28"/>
    </row>
    <row r="787" spans="1:1" ht="15.6" x14ac:dyDescent="0.3">
      <c r="A787" s="28"/>
    </row>
    <row r="788" spans="1:1" ht="15.6" x14ac:dyDescent="0.3">
      <c r="A788" s="28"/>
    </row>
    <row r="789" spans="1:1" ht="15.6" x14ac:dyDescent="0.3">
      <c r="A789" s="28"/>
    </row>
    <row r="790" spans="1:1" ht="15.6" x14ac:dyDescent="0.3">
      <c r="A790" s="28"/>
    </row>
    <row r="791" spans="1:1" ht="15.6" x14ac:dyDescent="0.3">
      <c r="A791" s="28"/>
    </row>
    <row r="792" spans="1:1" ht="15.6" x14ac:dyDescent="0.3">
      <c r="A792" s="28"/>
    </row>
    <row r="793" spans="1:1" ht="15.6" x14ac:dyDescent="0.3">
      <c r="A793" s="28"/>
    </row>
    <row r="794" spans="1:1" ht="15.6" x14ac:dyDescent="0.3">
      <c r="A794" s="28"/>
    </row>
    <row r="795" spans="1:1" ht="15.6" x14ac:dyDescent="0.3">
      <c r="A795" s="28"/>
    </row>
    <row r="796" spans="1:1" ht="15.6" x14ac:dyDescent="0.3">
      <c r="A796" s="28"/>
    </row>
    <row r="797" spans="1:1" ht="15.6" x14ac:dyDescent="0.3">
      <c r="A797" s="28"/>
    </row>
    <row r="798" spans="1:1" ht="15.6" x14ac:dyDescent="0.3">
      <c r="A798" s="28"/>
    </row>
    <row r="799" spans="1:1" ht="15.6" x14ac:dyDescent="0.3">
      <c r="A799" s="28"/>
    </row>
    <row r="800" spans="1:1" ht="15.6" x14ac:dyDescent="0.3">
      <c r="A800" s="28"/>
    </row>
    <row r="801" spans="1:1" ht="15.6" x14ac:dyDescent="0.3">
      <c r="A801" s="28"/>
    </row>
    <row r="802" spans="1:1" ht="15.6" x14ac:dyDescent="0.3">
      <c r="A802" s="28"/>
    </row>
    <row r="803" spans="1:1" ht="15.6" x14ac:dyDescent="0.3">
      <c r="A803" s="28"/>
    </row>
    <row r="804" spans="1:1" ht="15.6" x14ac:dyDescent="0.3">
      <c r="A804" s="28"/>
    </row>
    <row r="805" spans="1:1" ht="15.6" x14ac:dyDescent="0.3">
      <c r="A805" s="28"/>
    </row>
    <row r="806" spans="1:1" ht="15.6" x14ac:dyDescent="0.3">
      <c r="A806" s="28"/>
    </row>
    <row r="807" spans="1:1" ht="15.6" x14ac:dyDescent="0.3">
      <c r="A807" s="28"/>
    </row>
    <row r="808" spans="1:1" ht="15.6" x14ac:dyDescent="0.3">
      <c r="A808" s="28"/>
    </row>
    <row r="809" spans="1:1" ht="15.6" x14ac:dyDescent="0.3">
      <c r="A809" s="28"/>
    </row>
    <row r="810" spans="1:1" ht="15.6" x14ac:dyDescent="0.3">
      <c r="A810" s="28"/>
    </row>
    <row r="811" spans="1:1" ht="15.6" x14ac:dyDescent="0.3">
      <c r="A811" s="28"/>
    </row>
    <row r="812" spans="1:1" ht="15.6" x14ac:dyDescent="0.3">
      <c r="A812" s="28"/>
    </row>
    <row r="813" spans="1:1" ht="15.6" x14ac:dyDescent="0.3">
      <c r="A813" s="28"/>
    </row>
    <row r="814" spans="1:1" ht="15.6" x14ac:dyDescent="0.3">
      <c r="A814" s="28"/>
    </row>
    <row r="815" spans="1:1" ht="15.6" x14ac:dyDescent="0.3">
      <c r="A815" s="28"/>
    </row>
    <row r="816" spans="1:1" ht="15.6" x14ac:dyDescent="0.3">
      <c r="A816" s="28"/>
    </row>
    <row r="817" spans="1:1" ht="15.6" x14ac:dyDescent="0.3">
      <c r="A817" s="28"/>
    </row>
    <row r="818" spans="1:1" ht="15.6" x14ac:dyDescent="0.3">
      <c r="A818" s="28"/>
    </row>
    <row r="819" spans="1:1" ht="15.6" x14ac:dyDescent="0.3">
      <c r="A819" s="28"/>
    </row>
    <row r="820" spans="1:1" ht="15.6" x14ac:dyDescent="0.3">
      <c r="A820" s="28"/>
    </row>
    <row r="821" spans="1:1" ht="15.6" x14ac:dyDescent="0.3">
      <c r="A821" s="28"/>
    </row>
    <row r="822" spans="1:1" ht="15.6" x14ac:dyDescent="0.3">
      <c r="A822" s="28"/>
    </row>
    <row r="823" spans="1:1" ht="15.6" x14ac:dyDescent="0.3">
      <c r="A823" s="28"/>
    </row>
    <row r="824" spans="1:1" ht="15.6" x14ac:dyDescent="0.3">
      <c r="A824" s="28"/>
    </row>
    <row r="825" spans="1:1" ht="15.6" x14ac:dyDescent="0.3">
      <c r="A825" s="28"/>
    </row>
    <row r="826" spans="1:1" ht="15.6" x14ac:dyDescent="0.3">
      <c r="A826" s="28"/>
    </row>
    <row r="827" spans="1:1" ht="15.6" x14ac:dyDescent="0.3">
      <c r="A827" s="28"/>
    </row>
    <row r="828" spans="1:1" ht="15.6" x14ac:dyDescent="0.3">
      <c r="A828" s="28"/>
    </row>
    <row r="829" spans="1:1" ht="15.6" x14ac:dyDescent="0.3">
      <c r="A829" s="28"/>
    </row>
    <row r="830" spans="1:1" ht="15.6" x14ac:dyDescent="0.3">
      <c r="A830" s="28"/>
    </row>
    <row r="831" spans="1:1" ht="15.6" x14ac:dyDescent="0.3">
      <c r="A831" s="28"/>
    </row>
    <row r="832" spans="1:1" ht="15.6" x14ac:dyDescent="0.3">
      <c r="A832" s="28"/>
    </row>
    <row r="833" spans="1:1" ht="15.6" x14ac:dyDescent="0.3">
      <c r="A833" s="28"/>
    </row>
    <row r="834" spans="1:1" ht="15.6" x14ac:dyDescent="0.3">
      <c r="A834" s="28"/>
    </row>
    <row r="835" spans="1:1" ht="15.6" x14ac:dyDescent="0.3">
      <c r="A835" s="28"/>
    </row>
    <row r="836" spans="1:1" ht="15.6" x14ac:dyDescent="0.3">
      <c r="A836" s="28"/>
    </row>
    <row r="837" spans="1:1" ht="15.6" x14ac:dyDescent="0.3">
      <c r="A837" s="28"/>
    </row>
    <row r="838" spans="1:1" ht="15.6" x14ac:dyDescent="0.3">
      <c r="A838" s="28"/>
    </row>
    <row r="839" spans="1:1" ht="15.6" x14ac:dyDescent="0.3">
      <c r="A839" s="28"/>
    </row>
    <row r="840" spans="1:1" ht="15.6" x14ac:dyDescent="0.3">
      <c r="A840" s="28"/>
    </row>
    <row r="841" spans="1:1" ht="15.6" x14ac:dyDescent="0.3">
      <c r="A841" s="28"/>
    </row>
    <row r="842" spans="1:1" ht="15.6" x14ac:dyDescent="0.3">
      <c r="A842" s="28"/>
    </row>
    <row r="843" spans="1:1" ht="15.6" x14ac:dyDescent="0.3">
      <c r="A843" s="28"/>
    </row>
    <row r="844" spans="1:1" ht="15.6" x14ac:dyDescent="0.3">
      <c r="A844" s="28"/>
    </row>
    <row r="845" spans="1:1" ht="15.6" x14ac:dyDescent="0.3">
      <c r="A845" s="28"/>
    </row>
    <row r="846" spans="1:1" ht="15.6" x14ac:dyDescent="0.3">
      <c r="A846" s="28"/>
    </row>
    <row r="847" spans="1:1" ht="15.6" x14ac:dyDescent="0.3">
      <c r="A847" s="28"/>
    </row>
    <row r="848" spans="1:1" ht="15.6" x14ac:dyDescent="0.3">
      <c r="A848" s="28"/>
    </row>
    <row r="849" spans="1:1" ht="15.6" x14ac:dyDescent="0.3">
      <c r="A849" s="28"/>
    </row>
    <row r="850" spans="1:1" ht="15.6" x14ac:dyDescent="0.3">
      <c r="A850" s="28"/>
    </row>
    <row r="851" spans="1:1" ht="15.6" x14ac:dyDescent="0.3">
      <c r="A851" s="28"/>
    </row>
    <row r="852" spans="1:1" ht="15.6" x14ac:dyDescent="0.3">
      <c r="A852" s="28"/>
    </row>
    <row r="853" spans="1:1" ht="15.6" x14ac:dyDescent="0.3">
      <c r="A853" s="28"/>
    </row>
    <row r="854" spans="1:1" ht="15.6" x14ac:dyDescent="0.3">
      <c r="A854" s="28"/>
    </row>
    <row r="855" spans="1:1" ht="15.6" x14ac:dyDescent="0.3">
      <c r="A855" s="28"/>
    </row>
    <row r="856" spans="1:1" ht="15.6" x14ac:dyDescent="0.3">
      <c r="A856" s="28"/>
    </row>
    <row r="857" spans="1:1" ht="15.6" x14ac:dyDescent="0.3">
      <c r="A857" s="28"/>
    </row>
    <row r="858" spans="1:1" ht="15.6" x14ac:dyDescent="0.3">
      <c r="A858" s="28"/>
    </row>
    <row r="859" spans="1:1" ht="15.6" x14ac:dyDescent="0.3">
      <c r="A859" s="28"/>
    </row>
    <row r="860" spans="1:1" ht="15.6" x14ac:dyDescent="0.3">
      <c r="A860" s="28"/>
    </row>
    <row r="861" spans="1:1" ht="15.6" x14ac:dyDescent="0.3">
      <c r="A861" s="28"/>
    </row>
    <row r="862" spans="1:1" ht="15.6" x14ac:dyDescent="0.3">
      <c r="A862" s="28"/>
    </row>
    <row r="863" spans="1:1" ht="15.6" x14ac:dyDescent="0.3">
      <c r="A863" s="28"/>
    </row>
    <row r="864" spans="1:1" ht="15.6" x14ac:dyDescent="0.3">
      <c r="A864" s="28"/>
    </row>
    <row r="865" spans="1:1" ht="15.6" x14ac:dyDescent="0.3">
      <c r="A865" s="28"/>
    </row>
    <row r="866" spans="1:1" ht="15.6" x14ac:dyDescent="0.3">
      <c r="A866" s="28"/>
    </row>
    <row r="867" spans="1:1" ht="15.6" x14ac:dyDescent="0.3">
      <c r="A867" s="28"/>
    </row>
    <row r="868" spans="1:1" ht="15.6" x14ac:dyDescent="0.3">
      <c r="A868" s="28"/>
    </row>
    <row r="869" spans="1:1" ht="15.6" x14ac:dyDescent="0.3">
      <c r="A869" s="28"/>
    </row>
    <row r="870" spans="1:1" ht="15.6" x14ac:dyDescent="0.3">
      <c r="A870" s="28"/>
    </row>
    <row r="871" spans="1:1" ht="15.6" x14ac:dyDescent="0.3">
      <c r="A871" s="28"/>
    </row>
    <row r="872" spans="1:1" ht="15.6" x14ac:dyDescent="0.3">
      <c r="A872" s="28"/>
    </row>
    <row r="873" spans="1:1" ht="15.6" x14ac:dyDescent="0.3">
      <c r="A873" s="28"/>
    </row>
    <row r="874" spans="1:1" ht="15.6" x14ac:dyDescent="0.3">
      <c r="A874" s="28"/>
    </row>
    <row r="875" spans="1:1" ht="15.6" x14ac:dyDescent="0.3">
      <c r="A875" s="28"/>
    </row>
    <row r="876" spans="1:1" ht="15.6" x14ac:dyDescent="0.3">
      <c r="A876" s="28"/>
    </row>
    <row r="877" spans="1:1" ht="15.6" x14ac:dyDescent="0.3">
      <c r="A877" s="28"/>
    </row>
    <row r="878" spans="1:1" ht="15.6" x14ac:dyDescent="0.3">
      <c r="A878" s="28"/>
    </row>
    <row r="879" spans="1:1" ht="15.6" x14ac:dyDescent="0.3">
      <c r="A879" s="28"/>
    </row>
    <row r="880" spans="1:1" ht="15.6" x14ac:dyDescent="0.3">
      <c r="A880" s="28"/>
    </row>
    <row r="881" spans="1:1" ht="15.6" x14ac:dyDescent="0.3">
      <c r="A881" s="28"/>
    </row>
    <row r="882" spans="1:1" ht="15.6" x14ac:dyDescent="0.3">
      <c r="A882" s="28"/>
    </row>
    <row r="883" spans="1:1" ht="15.6" x14ac:dyDescent="0.3">
      <c r="A883" s="28"/>
    </row>
    <row r="884" spans="1:1" ht="15.6" x14ac:dyDescent="0.3">
      <c r="A884" s="28"/>
    </row>
    <row r="885" spans="1:1" ht="15.6" x14ac:dyDescent="0.3">
      <c r="A885" s="28"/>
    </row>
    <row r="886" spans="1:1" ht="15.6" x14ac:dyDescent="0.3">
      <c r="A886" s="28"/>
    </row>
    <row r="887" spans="1:1" ht="15.6" x14ac:dyDescent="0.3">
      <c r="A887" s="28"/>
    </row>
    <row r="888" spans="1:1" ht="15.6" x14ac:dyDescent="0.3">
      <c r="A888" s="28"/>
    </row>
    <row r="889" spans="1:1" ht="15.6" x14ac:dyDescent="0.3">
      <c r="A889" s="28"/>
    </row>
    <row r="890" spans="1:1" ht="15.6" x14ac:dyDescent="0.3">
      <c r="A890" s="28"/>
    </row>
    <row r="891" spans="1:1" ht="15.6" x14ac:dyDescent="0.3">
      <c r="A891" s="28"/>
    </row>
    <row r="892" spans="1:1" ht="15.6" x14ac:dyDescent="0.3">
      <c r="A892" s="28"/>
    </row>
    <row r="893" spans="1:1" ht="15.6" x14ac:dyDescent="0.3">
      <c r="A893" s="28"/>
    </row>
    <row r="894" spans="1:1" ht="15.6" x14ac:dyDescent="0.3">
      <c r="A894" s="28"/>
    </row>
    <row r="895" spans="1:1" ht="15.6" x14ac:dyDescent="0.3">
      <c r="A895" s="28"/>
    </row>
    <row r="896" spans="1:1" ht="15.6" x14ac:dyDescent="0.3">
      <c r="A896" s="28"/>
    </row>
    <row r="897" spans="1:1" ht="15.6" x14ac:dyDescent="0.3">
      <c r="A897" s="28"/>
    </row>
    <row r="898" spans="1:1" ht="15.6" x14ac:dyDescent="0.3">
      <c r="A898" s="28"/>
    </row>
    <row r="899" spans="1:1" ht="15.6" x14ac:dyDescent="0.3">
      <c r="A899" s="28"/>
    </row>
    <row r="900" spans="1:1" ht="15.6" x14ac:dyDescent="0.3">
      <c r="A900" s="28"/>
    </row>
    <row r="901" spans="1:1" ht="15.6" x14ac:dyDescent="0.3">
      <c r="A901" s="28"/>
    </row>
    <row r="902" spans="1:1" ht="15.6" x14ac:dyDescent="0.3">
      <c r="A902" s="28"/>
    </row>
    <row r="903" spans="1:1" ht="15.6" x14ac:dyDescent="0.3">
      <c r="A903" s="28"/>
    </row>
    <row r="904" spans="1:1" ht="15.6" x14ac:dyDescent="0.3">
      <c r="A904" s="28"/>
    </row>
    <row r="905" spans="1:1" ht="15.6" x14ac:dyDescent="0.3">
      <c r="A905" s="28"/>
    </row>
    <row r="906" spans="1:1" ht="15.6" x14ac:dyDescent="0.3">
      <c r="A906" s="28"/>
    </row>
    <row r="907" spans="1:1" ht="15.6" x14ac:dyDescent="0.3">
      <c r="A907" s="28"/>
    </row>
    <row r="908" spans="1:1" ht="15.6" x14ac:dyDescent="0.3">
      <c r="A908" s="28"/>
    </row>
    <row r="909" spans="1:1" ht="15.6" x14ac:dyDescent="0.3">
      <c r="A909" s="28"/>
    </row>
  </sheetData>
  <pageMargins left="0.25" right="0.25" top="0.25" bottom="0.2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94BC-D2CE-4CDA-941A-4524338BBEB4}">
  <dimension ref="A4:P35"/>
  <sheetViews>
    <sheetView rightToLeft="1" tabSelected="1" zoomScaleNormal="100" workbookViewId="0">
      <selection activeCell="A2" sqref="A2"/>
    </sheetView>
  </sheetViews>
  <sheetFormatPr defaultRowHeight="15.6" x14ac:dyDescent="0.3"/>
  <cols>
    <col min="1" max="1" width="36.5" bestFit="1" customWidth="1"/>
    <col min="2" max="2" width="25.5" customWidth="1"/>
    <col min="3" max="3" width="17.5" customWidth="1"/>
    <col min="4" max="4" width="16.796875" bestFit="1" customWidth="1"/>
    <col min="5" max="8" width="15.296875" bestFit="1" customWidth="1"/>
    <col min="9" max="9" width="17.8984375" customWidth="1"/>
    <col min="10" max="14" width="15.296875" bestFit="1" customWidth="1"/>
    <col min="15" max="15" width="16.796875" bestFit="1" customWidth="1"/>
  </cols>
  <sheetData>
    <row r="4" spans="1:16" x14ac:dyDescent="0.3">
      <c r="A4" s="123" t="s">
        <v>54</v>
      </c>
      <c r="B4" s="123" t="s">
        <v>63</v>
      </c>
      <c r="C4" s="123" t="s">
        <v>0</v>
      </c>
      <c r="D4" s="123" t="s">
        <v>1</v>
      </c>
      <c r="E4" s="123" t="s">
        <v>55</v>
      </c>
      <c r="F4" s="123" t="s">
        <v>4</v>
      </c>
      <c r="G4" s="123" t="s">
        <v>56</v>
      </c>
      <c r="H4" s="123" t="s">
        <v>57</v>
      </c>
      <c r="I4" s="123" t="s">
        <v>58</v>
      </c>
      <c r="J4" s="123" t="s">
        <v>59</v>
      </c>
      <c r="K4" s="123" t="s">
        <v>60</v>
      </c>
      <c r="L4" s="123" t="s">
        <v>61</v>
      </c>
      <c r="M4" s="123" t="s">
        <v>13</v>
      </c>
      <c r="N4" s="123" t="s">
        <v>14</v>
      </c>
      <c r="O4" s="123" t="s">
        <v>62</v>
      </c>
    </row>
    <row r="5" spans="1:16" x14ac:dyDescent="0.3">
      <c r="A5" s="123" t="s">
        <v>64</v>
      </c>
      <c r="B5" s="123" t="s">
        <v>65</v>
      </c>
      <c r="C5" s="108"/>
      <c r="D5" s="108">
        <v>350000</v>
      </c>
      <c r="E5" s="108">
        <v>71409</v>
      </c>
      <c r="F5" s="108">
        <v>71409</v>
      </c>
      <c r="G5" s="108"/>
      <c r="H5" s="108"/>
      <c r="I5" s="108"/>
      <c r="J5" s="108"/>
      <c r="K5" s="108"/>
      <c r="L5" s="108"/>
      <c r="M5" s="108"/>
      <c r="N5" s="108"/>
      <c r="O5" s="108">
        <f t="shared" ref="O5:O17" si="0">SUM(C5:N5)</f>
        <v>492818</v>
      </c>
    </row>
    <row r="6" spans="1:16" x14ac:dyDescent="0.3">
      <c r="A6" s="123" t="s">
        <v>66</v>
      </c>
      <c r="B6" t="s">
        <v>67</v>
      </c>
      <c r="C6" s="108"/>
      <c r="D6" s="108">
        <v>171929.60000000001</v>
      </c>
      <c r="E6" s="108">
        <v>85964.800000000003</v>
      </c>
      <c r="F6" s="108">
        <v>214912</v>
      </c>
      <c r="G6" s="108">
        <v>257894.39999999999</v>
      </c>
      <c r="H6" s="108">
        <v>128947.2</v>
      </c>
      <c r="I6" s="108"/>
      <c r="J6" s="108"/>
      <c r="K6" s="108"/>
      <c r="L6" s="108"/>
      <c r="M6" s="108"/>
      <c r="N6" s="108"/>
      <c r="O6" s="108">
        <f t="shared" si="0"/>
        <v>859648</v>
      </c>
    </row>
    <row r="7" spans="1:16" x14ac:dyDescent="0.3">
      <c r="A7" s="123" t="s">
        <v>91</v>
      </c>
      <c r="B7" t="s">
        <v>90</v>
      </c>
      <c r="C7" s="108"/>
      <c r="D7" s="108"/>
      <c r="E7" s="108"/>
      <c r="F7" s="108">
        <v>171929.60000000001</v>
      </c>
      <c r="G7" s="108">
        <v>85964.800000000003</v>
      </c>
      <c r="H7" s="108">
        <v>214912</v>
      </c>
      <c r="I7" s="108">
        <v>257894.39999999999</v>
      </c>
      <c r="J7" s="108">
        <v>128947.2</v>
      </c>
      <c r="K7" s="108"/>
      <c r="L7" s="108"/>
      <c r="M7" s="108"/>
      <c r="N7" s="108"/>
      <c r="O7" s="108">
        <f t="shared" si="0"/>
        <v>859648</v>
      </c>
    </row>
    <row r="8" spans="1:16" x14ac:dyDescent="0.3">
      <c r="A8" s="123" t="s">
        <v>69</v>
      </c>
      <c r="C8" s="3"/>
      <c r="D8" s="108">
        <v>175541.5</v>
      </c>
      <c r="E8" s="108">
        <v>142400</v>
      </c>
      <c r="F8" s="108">
        <v>144100</v>
      </c>
      <c r="G8" s="108">
        <v>144400</v>
      </c>
      <c r="H8" s="108">
        <v>144100</v>
      </c>
      <c r="I8" s="108">
        <v>144400</v>
      </c>
      <c r="J8" s="108">
        <v>144070</v>
      </c>
      <c r="K8" s="108">
        <v>144400</v>
      </c>
      <c r="L8" s="108">
        <v>143100</v>
      </c>
      <c r="M8" s="108">
        <v>143400</v>
      </c>
      <c r="N8" s="108">
        <v>143100</v>
      </c>
      <c r="O8" s="108">
        <f t="shared" si="0"/>
        <v>1613011.5</v>
      </c>
      <c r="P8" s="108"/>
    </row>
    <row r="9" spans="1:16" x14ac:dyDescent="0.3">
      <c r="A9" s="123" t="s">
        <v>74</v>
      </c>
      <c r="B9" s="123" t="s">
        <v>73</v>
      </c>
      <c r="C9" s="108"/>
      <c r="D9" s="108"/>
      <c r="E9" s="108">
        <v>37533.589999999997</v>
      </c>
      <c r="F9" s="108">
        <v>37533.589999999997</v>
      </c>
      <c r="G9" s="108">
        <v>37533.589999999997</v>
      </c>
      <c r="H9" s="108">
        <v>37533.589999999997</v>
      </c>
      <c r="I9" s="108">
        <v>37533.589999999997</v>
      </c>
      <c r="J9" s="108">
        <v>37533.589999999997</v>
      </c>
      <c r="K9" s="108">
        <v>37533.589999999997</v>
      </c>
      <c r="L9" s="108">
        <v>37533.589999999997</v>
      </c>
      <c r="M9" s="108">
        <v>37533.589999999997</v>
      </c>
      <c r="N9" s="108">
        <v>37533.589999999997</v>
      </c>
      <c r="O9" s="108">
        <f t="shared" si="0"/>
        <v>375335.89999999991</v>
      </c>
      <c r="P9" s="108"/>
    </row>
    <row r="10" spans="1:16" x14ac:dyDescent="0.3">
      <c r="A10" s="123" t="s">
        <v>75</v>
      </c>
      <c r="B10" s="123" t="s">
        <v>76</v>
      </c>
      <c r="C10" s="108"/>
      <c r="D10" s="108"/>
      <c r="E10" s="108"/>
      <c r="F10" s="108"/>
      <c r="G10" s="108"/>
      <c r="H10" s="108">
        <v>32160</v>
      </c>
      <c r="I10" s="108"/>
      <c r="J10" s="108">
        <v>24150</v>
      </c>
      <c r="L10" s="108">
        <v>24150</v>
      </c>
      <c r="M10" s="108"/>
      <c r="N10" s="108">
        <v>32160</v>
      </c>
      <c r="O10" s="108">
        <f t="shared" si="0"/>
        <v>112620</v>
      </c>
      <c r="P10" s="108"/>
    </row>
    <row r="11" spans="1:16" x14ac:dyDescent="0.3">
      <c r="A11" s="123" t="s">
        <v>89</v>
      </c>
      <c r="C11" s="108"/>
      <c r="D11" s="108"/>
      <c r="E11" s="108"/>
      <c r="F11" s="108"/>
      <c r="G11" s="108">
        <v>172500</v>
      </c>
      <c r="H11" s="108"/>
      <c r="I11" s="108"/>
      <c r="J11" s="108"/>
      <c r="K11" s="108"/>
      <c r="L11" s="108"/>
      <c r="M11" s="108"/>
      <c r="N11" s="108"/>
      <c r="O11" s="108">
        <f t="shared" si="0"/>
        <v>172500</v>
      </c>
      <c r="P11" s="108"/>
    </row>
    <row r="12" spans="1:16" x14ac:dyDescent="0.3">
      <c r="A12" s="123" t="s">
        <v>77</v>
      </c>
      <c r="B12" s="123" t="s">
        <v>78</v>
      </c>
      <c r="C12" s="108"/>
      <c r="D12" s="108">
        <v>10000</v>
      </c>
      <c r="E12" s="108"/>
      <c r="F12" s="108">
        <v>14686.66</v>
      </c>
      <c r="G12" s="108"/>
      <c r="H12" s="108">
        <v>14686.66</v>
      </c>
      <c r="I12" s="108"/>
      <c r="J12" s="108">
        <v>14686.68</v>
      </c>
      <c r="K12" s="108"/>
      <c r="L12" s="108"/>
      <c r="M12" s="108"/>
      <c r="N12" s="108"/>
      <c r="O12" s="108">
        <f t="shared" si="0"/>
        <v>54060</v>
      </c>
      <c r="P12" s="108"/>
    </row>
    <row r="13" spans="1:16" x14ac:dyDescent="0.3">
      <c r="A13" s="123" t="s">
        <v>79</v>
      </c>
      <c r="B13" s="123" t="s">
        <v>80</v>
      </c>
      <c r="C13" s="108"/>
      <c r="D13" s="108">
        <v>14425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>
        <f t="shared" si="0"/>
        <v>14425</v>
      </c>
      <c r="P13" s="108"/>
    </row>
    <row r="14" spans="1:16" x14ac:dyDescent="0.3">
      <c r="A14" s="123" t="s">
        <v>81</v>
      </c>
      <c r="B14" s="123" t="s">
        <v>80</v>
      </c>
      <c r="C14" s="108"/>
      <c r="D14" s="108">
        <v>19249.044999999998</v>
      </c>
      <c r="E14" s="108">
        <v>39747.449999999997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>
        <f t="shared" si="0"/>
        <v>58996.494999999995</v>
      </c>
      <c r="P14" s="108"/>
    </row>
    <row r="15" spans="1:16" x14ac:dyDescent="0.3">
      <c r="A15" s="123" t="s">
        <v>82</v>
      </c>
      <c r="B15" s="123"/>
      <c r="C15" s="108"/>
      <c r="D15" s="108"/>
      <c r="E15" s="108"/>
      <c r="F15" s="108"/>
      <c r="G15" s="108"/>
      <c r="H15" s="108"/>
      <c r="I15" s="108">
        <v>0</v>
      </c>
      <c r="J15" s="108"/>
      <c r="K15" s="108"/>
      <c r="L15" s="108"/>
      <c r="M15" s="108"/>
      <c r="N15" s="108"/>
      <c r="O15" s="108">
        <f t="shared" si="0"/>
        <v>0</v>
      </c>
      <c r="P15" s="108"/>
    </row>
    <row r="16" spans="1:16" x14ac:dyDescent="0.3">
      <c r="A16" s="123" t="s">
        <v>83</v>
      </c>
      <c r="B16" s="123"/>
      <c r="C16" s="108"/>
      <c r="D16" s="108"/>
      <c r="E16" s="108"/>
      <c r="F16" s="108"/>
      <c r="G16" s="108"/>
      <c r="H16" s="108">
        <v>100000</v>
      </c>
      <c r="I16" s="108"/>
      <c r="J16" s="108"/>
      <c r="K16" s="108"/>
      <c r="L16" s="108"/>
      <c r="M16" s="108"/>
      <c r="N16" s="108"/>
      <c r="O16" s="108">
        <f t="shared" si="0"/>
        <v>100000</v>
      </c>
      <c r="P16" s="108"/>
    </row>
    <row r="17" spans="1:16" x14ac:dyDescent="0.3">
      <c r="A17" s="123" t="s">
        <v>84</v>
      </c>
      <c r="B17" s="123" t="s">
        <v>85</v>
      </c>
      <c r="C17" s="108"/>
      <c r="D17" s="108"/>
      <c r="E17" s="108">
        <v>26820</v>
      </c>
      <c r="F17" s="108"/>
      <c r="G17" s="108"/>
      <c r="H17" s="108"/>
      <c r="I17" s="108"/>
      <c r="J17" s="108"/>
      <c r="K17" s="108"/>
      <c r="L17" s="108"/>
      <c r="M17" s="108"/>
      <c r="N17" s="108"/>
      <c r="O17" s="108">
        <f t="shared" si="0"/>
        <v>26820</v>
      </c>
      <c r="P17" s="108"/>
    </row>
    <row r="18" spans="1:16" x14ac:dyDescent="0.3">
      <c r="A18" s="123" t="s">
        <v>88</v>
      </c>
      <c r="B18" s="123"/>
      <c r="C18" s="108"/>
      <c r="D18" s="108">
        <v>117780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</row>
    <row r="19" spans="1:16" x14ac:dyDescent="0.3">
      <c r="A19" s="123" t="s">
        <v>96</v>
      </c>
      <c r="B19" s="123"/>
      <c r="C19" s="108"/>
      <c r="D19" s="108">
        <v>121753.60000000001</v>
      </c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</row>
    <row r="20" spans="1:16" x14ac:dyDescent="0.3">
      <c r="A20" s="123" t="s">
        <v>86</v>
      </c>
      <c r="B20" s="123" t="s">
        <v>87</v>
      </c>
      <c r="C20" s="108"/>
      <c r="D20" s="108">
        <v>393450</v>
      </c>
      <c r="E20" s="108"/>
      <c r="F20" s="108"/>
      <c r="G20" s="108"/>
      <c r="H20" s="108"/>
      <c r="I20" s="108"/>
      <c r="J20" s="108"/>
      <c r="K20" s="108"/>
      <c r="L20" s="108"/>
      <c r="M20" s="108">
        <v>524600</v>
      </c>
      <c r="N20" s="108"/>
      <c r="O20" s="108">
        <f>SUM(C20:N20)</f>
        <v>918050</v>
      </c>
      <c r="P20" s="108"/>
    </row>
    <row r="21" spans="1:16" x14ac:dyDescent="0.3">
      <c r="A21" s="123" t="s">
        <v>68</v>
      </c>
      <c r="C21" s="108"/>
      <c r="D21" s="108">
        <f t="shared" ref="D21:N21" si="1">SUM(D5:D20)</f>
        <v>1374128.7450000001</v>
      </c>
      <c r="E21" s="108">
        <f t="shared" si="1"/>
        <v>403874.84</v>
      </c>
      <c r="F21" s="108">
        <f t="shared" si="1"/>
        <v>654570.85</v>
      </c>
      <c r="G21" s="108">
        <f t="shared" si="1"/>
        <v>698292.79</v>
      </c>
      <c r="H21" s="108">
        <f t="shared" si="1"/>
        <v>672339.45000000007</v>
      </c>
      <c r="I21" s="108">
        <f t="shared" si="1"/>
        <v>439827.99</v>
      </c>
      <c r="J21" s="108">
        <f t="shared" si="1"/>
        <v>349387.47000000003</v>
      </c>
      <c r="K21" s="108">
        <f t="shared" si="1"/>
        <v>181933.59</v>
      </c>
      <c r="L21" s="108">
        <f t="shared" si="1"/>
        <v>204783.59</v>
      </c>
      <c r="M21" s="108">
        <f t="shared" si="1"/>
        <v>705533.59</v>
      </c>
      <c r="N21" s="108">
        <f t="shared" si="1"/>
        <v>212793.59</v>
      </c>
      <c r="O21" s="108">
        <f>SUM(C21:N21)</f>
        <v>5897466.4949999992</v>
      </c>
      <c r="P21" s="108"/>
    </row>
    <row r="22" spans="1:16" x14ac:dyDescent="0.3"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</row>
    <row r="23" spans="1:16" x14ac:dyDescent="0.3">
      <c r="A23" s="132" t="s">
        <v>71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</row>
    <row r="24" spans="1:16" x14ac:dyDescent="0.3">
      <c r="B24" s="108"/>
      <c r="P24" s="108"/>
    </row>
    <row r="25" spans="1:16" x14ac:dyDescent="0.3">
      <c r="A25" t="s">
        <v>54</v>
      </c>
      <c r="B25" s="108"/>
      <c r="C25" s="123" t="s">
        <v>0</v>
      </c>
      <c r="D25" s="123" t="s">
        <v>1</v>
      </c>
      <c r="E25" s="123" t="s">
        <v>55</v>
      </c>
      <c r="F25" s="123" t="s">
        <v>4</v>
      </c>
      <c r="G25" s="123" t="s">
        <v>56</v>
      </c>
      <c r="H25" s="123" t="s">
        <v>57</v>
      </c>
      <c r="I25" s="123" t="s">
        <v>58</v>
      </c>
      <c r="J25" s="123" t="s">
        <v>59</v>
      </c>
      <c r="K25" s="123" t="s">
        <v>60</v>
      </c>
      <c r="L25" s="123" t="s">
        <v>61</v>
      </c>
      <c r="M25" s="123" t="s">
        <v>13</v>
      </c>
      <c r="N25" s="123" t="s">
        <v>14</v>
      </c>
      <c r="O25" s="123" t="s">
        <v>62</v>
      </c>
      <c r="P25" s="108"/>
    </row>
    <row r="26" spans="1:16" x14ac:dyDescent="0.3">
      <c r="A26" s="132" t="s">
        <v>92</v>
      </c>
      <c r="C26" s="108">
        <v>0</v>
      </c>
      <c r="D26" s="108">
        <v>0</v>
      </c>
      <c r="E26" s="108">
        <v>350000</v>
      </c>
      <c r="F26" s="108"/>
      <c r="G26" s="108"/>
      <c r="H26" s="108"/>
      <c r="I26" s="108"/>
      <c r="J26" s="108"/>
      <c r="K26" s="108"/>
      <c r="L26" s="108"/>
      <c r="M26" s="108"/>
      <c r="N26" s="108"/>
      <c r="O26" s="108">
        <f>SUM(C26:N26)</f>
        <v>350000</v>
      </c>
    </row>
    <row r="27" spans="1:16" x14ac:dyDescent="0.3">
      <c r="A27" s="132" t="s">
        <v>93</v>
      </c>
      <c r="C27" s="108"/>
      <c r="D27" s="108"/>
      <c r="E27" s="108"/>
      <c r="F27" s="108"/>
      <c r="G27" s="108"/>
      <c r="H27" s="108"/>
      <c r="I27" s="108">
        <v>650000</v>
      </c>
      <c r="J27" s="108"/>
      <c r="K27" s="108"/>
      <c r="L27" s="108"/>
      <c r="M27" s="108"/>
      <c r="N27" s="108"/>
      <c r="O27" s="108">
        <f>SUM(C27:N27)</f>
        <v>650000</v>
      </c>
    </row>
    <row r="28" spans="1:16" x14ac:dyDescent="0.3">
      <c r="A28" s="132" t="s">
        <v>94</v>
      </c>
      <c r="C28" s="108"/>
      <c r="D28" s="108"/>
      <c r="E28" s="108"/>
      <c r="F28" s="108"/>
      <c r="G28" s="108">
        <v>500000</v>
      </c>
      <c r="H28" s="108">
        <v>500000</v>
      </c>
      <c r="I28" s="108"/>
      <c r="J28" s="108"/>
      <c r="K28" s="108">
        <v>500000</v>
      </c>
      <c r="L28" s="108">
        <v>500000</v>
      </c>
      <c r="M28" s="108"/>
      <c r="N28" s="108"/>
      <c r="O28" s="108">
        <f>SUM(C28:N28)</f>
        <v>2000000</v>
      </c>
    </row>
    <row r="29" spans="1:16" x14ac:dyDescent="0.3">
      <c r="A29" s="132" t="s">
        <v>95</v>
      </c>
      <c r="C29" s="108"/>
      <c r="D29" s="108"/>
      <c r="E29" s="108"/>
      <c r="F29" s="108"/>
      <c r="G29" s="108"/>
      <c r="H29" s="108"/>
      <c r="I29" s="108">
        <v>717600</v>
      </c>
      <c r="J29" s="108"/>
      <c r="K29" s="108"/>
      <c r="L29" s="108"/>
      <c r="M29" s="108"/>
      <c r="N29" s="108"/>
      <c r="O29" s="108">
        <f>SUM(C29:N29)</f>
        <v>717600</v>
      </c>
    </row>
    <row r="30" spans="1:16" x14ac:dyDescent="0.3">
      <c r="A30" s="132" t="s">
        <v>72</v>
      </c>
      <c r="B30" s="108"/>
      <c r="C30" s="108">
        <v>0</v>
      </c>
      <c r="D30" s="108">
        <v>1970200</v>
      </c>
      <c r="E30" s="108">
        <v>300000</v>
      </c>
      <c r="F30" s="108">
        <v>300000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f>SUM(C30:N30)</f>
        <v>2570200</v>
      </c>
    </row>
    <row r="31" spans="1:16" x14ac:dyDescent="0.3">
      <c r="A31" s="132" t="s">
        <v>62</v>
      </c>
      <c r="B31" s="108"/>
      <c r="C31" s="108">
        <f>SUM(C26:C30)</f>
        <v>0</v>
      </c>
      <c r="D31" s="108">
        <f t="shared" ref="D31:O31" si="2">SUM(D26:D30)</f>
        <v>1970200</v>
      </c>
      <c r="E31" s="108">
        <f t="shared" si="2"/>
        <v>650000</v>
      </c>
      <c r="F31" s="108">
        <f t="shared" si="2"/>
        <v>300000</v>
      </c>
      <c r="G31" s="108">
        <f t="shared" si="2"/>
        <v>500000</v>
      </c>
      <c r="H31" s="108">
        <f t="shared" si="2"/>
        <v>500000</v>
      </c>
      <c r="I31" s="108">
        <f t="shared" si="2"/>
        <v>1367600</v>
      </c>
      <c r="J31" s="108">
        <f t="shared" si="2"/>
        <v>0</v>
      </c>
      <c r="K31" s="108">
        <f t="shared" si="2"/>
        <v>500000</v>
      </c>
      <c r="L31" s="108">
        <f t="shared" si="2"/>
        <v>500000</v>
      </c>
      <c r="M31" s="108">
        <f t="shared" si="2"/>
        <v>0</v>
      </c>
      <c r="N31" s="108">
        <f t="shared" si="2"/>
        <v>0</v>
      </c>
      <c r="O31" s="108">
        <f t="shared" si="2"/>
        <v>6287800</v>
      </c>
    </row>
    <row r="32" spans="1:16" x14ac:dyDescent="0.3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>
        <f>O31-O21</f>
        <v>390333.50500000082</v>
      </c>
    </row>
    <row r="33" spans="3:15" x14ac:dyDescent="0.3"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</row>
    <row r="34" spans="3:15" x14ac:dyDescent="0.3"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</row>
    <row r="35" spans="3:15" x14ac:dyDescent="0.3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ميزانية 2026</vt:lpstr>
      <vt:lpstr>تحليل الدفعات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freexls</dc:creator>
  <cp:lastModifiedBy>Mohammed Wald Ali</cp:lastModifiedBy>
  <dcterms:created xsi:type="dcterms:W3CDTF">2025-10-06T10:28:36Z</dcterms:created>
  <dcterms:modified xsi:type="dcterms:W3CDTF">2026-02-16T09:44:30Z</dcterms:modified>
</cp:coreProperties>
</file>